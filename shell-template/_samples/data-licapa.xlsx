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tianaLeón\Desktop\"/>
    </mc:Choice>
  </mc:AlternateContent>
  <xr:revisionPtr revIDLastSave="0" documentId="8_{0C831202-2932-4E14-93D9-81B00BA2B784}" xr6:coauthVersionLast="47" xr6:coauthVersionMax="47" xr10:uidLastSave="{00000000-0000-0000-0000-000000000000}"/>
  <bookViews>
    <workbookView xWindow="-108" yWindow="-108" windowWidth="23256" windowHeight="13896" xr2:uid="{34E0C403-5284-48CB-ACF1-5DEDA3B59EC8}"/>
  </bookViews>
  <sheets>
    <sheet name="DATA QBERRIES" sheetId="2" r:id="rId1"/>
    <sheet name="Hoja1" sheetId="1" r:id="rId2"/>
  </sheets>
  <externalReferences>
    <externalReference r:id="rId3"/>
  </externalReferences>
  <definedNames>
    <definedName name="año">#REF!</definedName>
    <definedName name="Area">#REF!</definedName>
    <definedName name="Category">#REF!</definedName>
    <definedName name="CBAR.30">#REF!</definedName>
    <definedName name="CBAR.60">#REF!</definedName>
    <definedName name="CIQWBGuid" hidden="1">"2cd8126d-26c3-430c-b7fa-a069e3a1fc62"</definedName>
    <definedName name="Días">{0,1,2,3,4,5,6}</definedName>
    <definedName name="DíasDeLaSemana">{"LUNES","MARTES","MIÉRCOLES","JUEVES","VIERNES","SÁBADO","DOMINGO"}</definedName>
    <definedName name="EB1_7">#REF!</definedName>
    <definedName name="EB1_7_D">#REF!</definedName>
    <definedName name="EB1_7_R">#REF!</definedName>
    <definedName name="EBP_7">#REF!</definedName>
    <definedName name="EBP_7_D">#REF!</definedName>
    <definedName name="EBP_7_R">#REF!</definedName>
    <definedName name="EBP_8">#REF!</definedName>
    <definedName name="EBP_8_D">#REF!</definedName>
    <definedName name="EBP_8_R">#REF!</definedName>
    <definedName name="EBP_9">#REF!</definedName>
    <definedName name="EBP_9_D">#REF!</definedName>
    <definedName name="EBP_9_R">#REF!</definedName>
    <definedName name="Feriados">#REF!</definedName>
    <definedName name="FHR">#REF!</definedName>
    <definedName name="H">#REF!</definedName>
    <definedName name="Inversión">#REF!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J">{"Enero","Febrero","Marzo","Abril","Mayo","Junio","Julio","Agosto","Septiembre","Octubre","Noviembre","Diciembre"}</definedName>
    <definedName name="LXIRHJ">#REF!</definedName>
    <definedName name="Meses">{"Enero","Febrero","Marzo","Abril","Mayo","Junio","Julio","Agosto","Septiembre","Octubre","Noviembre","Diciembre"}</definedName>
    <definedName name="MNJBOJB">#REF!</definedName>
    <definedName name="MOD">#REF!</definedName>
    <definedName name="MT_Planti">#REF!</definedName>
    <definedName name="NXZHGFYRHTYHFDTSRYHJGFDR7TF8GIJKL">#REF!</definedName>
    <definedName name="Q">{0,1,2,3,4,5,6}</definedName>
    <definedName name="Ref_2">#REF!</definedName>
    <definedName name="Relación">OFFSET(#REF!,1,0,COUNTA(#REF!)-COUNTA(#REF!:#REF!),1)</definedName>
    <definedName name="SegmentaciónDeDatos_FECHA">#N/A</definedName>
    <definedName name="SegmentaciónDeDatos_FECHA1">#N/A</definedName>
    <definedName name="Tabla2">'DATA QBERRIES'!$C$2:$L$224</definedName>
    <definedName name="tic">#REF!</definedName>
    <definedName name="Transaction">#REF!</definedName>
    <definedName name="Type">#REF!</definedName>
    <definedName name="valuevx">42.314159</definedName>
    <definedName name="vertex42_copyright" hidden="1">"© 2011-2014 Vertex42 LLC"</definedName>
    <definedName name="vertex42_id" hidden="1">"work-order-template.xlsx"</definedName>
    <definedName name="vertex42_title" hidden="1">"Work Order Form Template"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Q224" i="2" l="1"/>
  <c r="P224" i="2"/>
  <c r="O224" i="2"/>
  <c r="C224" i="2"/>
  <c r="Q223" i="2"/>
  <c r="P223" i="2"/>
  <c r="O223" i="2"/>
  <c r="C223" i="2"/>
  <c r="Q222" i="2"/>
  <c r="P222" i="2"/>
  <c r="O222" i="2"/>
  <c r="C222" i="2"/>
  <c r="Q221" i="2"/>
  <c r="P221" i="2"/>
  <c r="O221" i="2"/>
  <c r="C221" i="2"/>
  <c r="Q220" i="2"/>
  <c r="P220" i="2"/>
  <c r="O220" i="2"/>
  <c r="C220" i="2"/>
  <c r="Q219" i="2"/>
  <c r="P219" i="2"/>
  <c r="O219" i="2"/>
  <c r="C219" i="2"/>
  <c r="Q218" i="2"/>
  <c r="P218" i="2"/>
  <c r="O218" i="2"/>
  <c r="C218" i="2"/>
  <c r="Q217" i="2"/>
  <c r="P217" i="2"/>
  <c r="O217" i="2"/>
  <c r="C217" i="2"/>
  <c r="Q216" i="2"/>
  <c r="P216" i="2"/>
  <c r="O216" i="2"/>
  <c r="C216" i="2"/>
  <c r="Q215" i="2"/>
  <c r="P215" i="2"/>
  <c r="O215" i="2"/>
  <c r="C215" i="2"/>
  <c r="Q214" i="2"/>
  <c r="P214" i="2"/>
  <c r="O214" i="2"/>
  <c r="C214" i="2"/>
  <c r="Q213" i="2"/>
  <c r="P213" i="2"/>
  <c r="O213" i="2"/>
  <c r="C213" i="2"/>
  <c r="Q212" i="2"/>
  <c r="P212" i="2"/>
  <c r="O212" i="2"/>
  <c r="C212" i="2"/>
  <c r="Q211" i="2"/>
  <c r="P211" i="2"/>
  <c r="O211" i="2"/>
  <c r="C211" i="2"/>
  <c r="Q210" i="2"/>
  <c r="P210" i="2"/>
  <c r="O210" i="2"/>
  <c r="C210" i="2"/>
  <c r="Q209" i="2"/>
  <c r="P209" i="2"/>
  <c r="O209" i="2"/>
  <c r="C209" i="2"/>
  <c r="Q208" i="2"/>
  <c r="P208" i="2"/>
  <c r="O208" i="2"/>
  <c r="C208" i="2"/>
  <c r="Q207" i="2"/>
  <c r="P207" i="2"/>
  <c r="O207" i="2"/>
  <c r="C207" i="2"/>
  <c r="Q206" i="2"/>
  <c r="P206" i="2"/>
  <c r="O206" i="2"/>
  <c r="C206" i="2"/>
  <c r="Q205" i="2"/>
  <c r="P205" i="2"/>
  <c r="O205" i="2"/>
  <c r="C205" i="2"/>
  <c r="Q204" i="2"/>
  <c r="P204" i="2"/>
  <c r="O204" i="2"/>
  <c r="C204" i="2"/>
  <c r="Q203" i="2"/>
  <c r="P203" i="2"/>
  <c r="O203" i="2"/>
  <c r="K203" i="2"/>
  <c r="C203" i="2"/>
  <c r="Q202" i="2"/>
  <c r="P202" i="2"/>
  <c r="O202" i="2"/>
  <c r="C202" i="2"/>
  <c r="Q201" i="2"/>
  <c r="P201" i="2"/>
  <c r="O201" i="2"/>
  <c r="C201" i="2"/>
  <c r="Q200" i="2"/>
  <c r="P200" i="2"/>
  <c r="O200" i="2"/>
  <c r="C200" i="2"/>
  <c r="Q199" i="2"/>
  <c r="P199" i="2"/>
  <c r="O199" i="2"/>
  <c r="C199" i="2"/>
  <c r="Q198" i="2"/>
  <c r="P198" i="2"/>
  <c r="O198" i="2"/>
  <c r="C198" i="2"/>
  <c r="Q197" i="2"/>
  <c r="P197" i="2"/>
  <c r="O197" i="2"/>
  <c r="C197" i="2"/>
  <c r="Q196" i="2"/>
  <c r="P196" i="2"/>
  <c r="O196" i="2"/>
  <c r="C196" i="2"/>
  <c r="Q195" i="2"/>
  <c r="P195" i="2"/>
  <c r="O195" i="2"/>
  <c r="C195" i="2"/>
  <c r="Q194" i="2"/>
  <c r="P194" i="2"/>
  <c r="O194" i="2"/>
  <c r="C194" i="2"/>
  <c r="Q193" i="2"/>
  <c r="P193" i="2"/>
  <c r="O193" i="2"/>
  <c r="C193" i="2"/>
  <c r="Q192" i="2"/>
  <c r="P192" i="2"/>
  <c r="O192" i="2"/>
  <c r="C192" i="2"/>
  <c r="Q191" i="2"/>
  <c r="P191" i="2"/>
  <c r="O191" i="2"/>
  <c r="C191" i="2"/>
  <c r="Q190" i="2"/>
  <c r="P190" i="2"/>
  <c r="O190" i="2"/>
  <c r="C190" i="2"/>
  <c r="Q189" i="2"/>
  <c r="P189" i="2"/>
  <c r="O189" i="2"/>
  <c r="C189" i="2"/>
  <c r="Q188" i="2"/>
  <c r="P188" i="2"/>
  <c r="O188" i="2"/>
  <c r="C188" i="2"/>
  <c r="Q187" i="2"/>
  <c r="P187" i="2"/>
  <c r="O187" i="2"/>
  <c r="C187" i="2"/>
  <c r="Q186" i="2"/>
  <c r="P186" i="2"/>
  <c r="O186" i="2"/>
  <c r="C186" i="2"/>
  <c r="Q185" i="2"/>
  <c r="P185" i="2"/>
  <c r="O185" i="2"/>
  <c r="C185" i="2"/>
  <c r="Q184" i="2"/>
  <c r="P184" i="2"/>
  <c r="O184" i="2"/>
  <c r="C184" i="2"/>
  <c r="Q183" i="2"/>
  <c r="P183" i="2"/>
  <c r="O183" i="2"/>
  <c r="C183" i="2"/>
  <c r="Q182" i="2"/>
  <c r="P182" i="2"/>
  <c r="O182" i="2"/>
  <c r="C182" i="2"/>
  <c r="Q181" i="2"/>
  <c r="P181" i="2"/>
  <c r="O181" i="2"/>
  <c r="C181" i="2"/>
  <c r="Q180" i="2"/>
  <c r="P180" i="2"/>
  <c r="O180" i="2"/>
  <c r="C180" i="2"/>
  <c r="Q179" i="2"/>
  <c r="P179" i="2"/>
  <c r="O179" i="2"/>
  <c r="C179" i="2"/>
  <c r="Q178" i="2"/>
  <c r="P178" i="2"/>
  <c r="O178" i="2"/>
  <c r="C178" i="2"/>
  <c r="Q177" i="2"/>
  <c r="P177" i="2"/>
  <c r="O177" i="2"/>
  <c r="C177" i="2"/>
  <c r="Q176" i="2"/>
  <c r="P176" i="2"/>
  <c r="O176" i="2"/>
  <c r="C176" i="2"/>
  <c r="Q175" i="2"/>
  <c r="P175" i="2"/>
  <c r="O175" i="2"/>
  <c r="C175" i="2"/>
  <c r="Q174" i="2"/>
  <c r="P174" i="2"/>
  <c r="O174" i="2"/>
  <c r="C174" i="2"/>
  <c r="Q173" i="2"/>
  <c r="P173" i="2"/>
  <c r="O173" i="2"/>
  <c r="C173" i="2"/>
  <c r="Q172" i="2"/>
  <c r="P172" i="2"/>
  <c r="O172" i="2"/>
  <c r="C172" i="2"/>
  <c r="Q171" i="2"/>
  <c r="P171" i="2"/>
  <c r="O171" i="2"/>
  <c r="C171" i="2"/>
  <c r="Q170" i="2"/>
  <c r="P170" i="2"/>
  <c r="O170" i="2"/>
  <c r="C170" i="2"/>
  <c r="Q169" i="2"/>
  <c r="P169" i="2"/>
  <c r="O169" i="2"/>
  <c r="C169" i="2"/>
  <c r="Q168" i="2"/>
  <c r="P168" i="2"/>
  <c r="O168" i="2"/>
  <c r="C168" i="2"/>
  <c r="Q167" i="2"/>
  <c r="P167" i="2"/>
  <c r="O167" i="2"/>
  <c r="C167" i="2"/>
  <c r="Q166" i="2"/>
  <c r="P166" i="2"/>
  <c r="O166" i="2"/>
  <c r="C166" i="2"/>
  <c r="Q165" i="2"/>
  <c r="P165" i="2"/>
  <c r="O165" i="2"/>
  <c r="C165" i="2"/>
  <c r="Q164" i="2"/>
  <c r="P164" i="2"/>
  <c r="O164" i="2"/>
  <c r="C164" i="2"/>
  <c r="Q163" i="2"/>
  <c r="P163" i="2"/>
  <c r="O163" i="2"/>
  <c r="C163" i="2"/>
  <c r="Q162" i="2"/>
  <c r="P162" i="2"/>
  <c r="O162" i="2"/>
  <c r="C162" i="2"/>
  <c r="Q161" i="2"/>
  <c r="P161" i="2"/>
  <c r="O161" i="2"/>
  <c r="C161" i="2"/>
  <c r="Q160" i="2"/>
  <c r="P160" i="2"/>
  <c r="O160" i="2"/>
  <c r="C160" i="2"/>
  <c r="Q159" i="2"/>
  <c r="P159" i="2"/>
  <c r="O159" i="2"/>
  <c r="C159" i="2"/>
  <c r="Q158" i="2"/>
  <c r="P158" i="2"/>
  <c r="O158" i="2"/>
  <c r="C158" i="2"/>
  <c r="Q157" i="2"/>
  <c r="P157" i="2"/>
  <c r="O157" i="2"/>
  <c r="C157" i="2"/>
  <c r="Q156" i="2"/>
  <c r="P156" i="2"/>
  <c r="O156" i="2"/>
  <c r="C156" i="2"/>
  <c r="Q155" i="2"/>
  <c r="P155" i="2"/>
  <c r="O155" i="2"/>
  <c r="C155" i="2"/>
  <c r="Q154" i="2"/>
  <c r="P154" i="2"/>
  <c r="O154" i="2"/>
  <c r="C154" i="2"/>
  <c r="Q153" i="2"/>
  <c r="P153" i="2"/>
  <c r="O153" i="2"/>
  <c r="C153" i="2"/>
  <c r="Q152" i="2"/>
  <c r="P152" i="2"/>
  <c r="O152" i="2"/>
  <c r="C152" i="2"/>
  <c r="Q151" i="2"/>
  <c r="P151" i="2"/>
  <c r="O151" i="2"/>
  <c r="C151" i="2"/>
  <c r="Q150" i="2"/>
  <c r="P150" i="2"/>
  <c r="O150" i="2"/>
  <c r="C150" i="2"/>
  <c r="Q149" i="2"/>
  <c r="P149" i="2"/>
  <c r="O149" i="2"/>
  <c r="C149" i="2"/>
  <c r="Q148" i="2"/>
  <c r="P148" i="2"/>
  <c r="O148" i="2"/>
  <c r="C148" i="2"/>
  <c r="Q147" i="2"/>
  <c r="P147" i="2"/>
  <c r="O147" i="2"/>
  <c r="C147" i="2"/>
  <c r="Q146" i="2"/>
  <c r="P146" i="2"/>
  <c r="O146" i="2"/>
  <c r="C146" i="2"/>
  <c r="Q145" i="2"/>
  <c r="P145" i="2"/>
  <c r="O145" i="2"/>
  <c r="C145" i="2"/>
  <c r="Q144" i="2"/>
  <c r="P144" i="2"/>
  <c r="O144" i="2"/>
  <c r="C144" i="2"/>
  <c r="Q143" i="2"/>
  <c r="P143" i="2"/>
  <c r="O143" i="2"/>
  <c r="C143" i="2"/>
  <c r="Q142" i="2"/>
  <c r="P142" i="2"/>
  <c r="O142" i="2"/>
  <c r="C142" i="2"/>
  <c r="Q141" i="2"/>
  <c r="P141" i="2"/>
  <c r="O141" i="2"/>
  <c r="C141" i="2"/>
  <c r="Q140" i="2"/>
  <c r="P140" i="2"/>
  <c r="O140" i="2"/>
  <c r="C140" i="2"/>
  <c r="Q139" i="2"/>
  <c r="P139" i="2"/>
  <c r="O139" i="2"/>
  <c r="C139" i="2"/>
  <c r="Q138" i="2"/>
  <c r="P138" i="2"/>
  <c r="O138" i="2"/>
  <c r="C138" i="2"/>
  <c r="Q137" i="2"/>
  <c r="P137" i="2"/>
  <c r="O137" i="2"/>
  <c r="C137" i="2"/>
  <c r="Q136" i="2"/>
  <c r="P136" i="2"/>
  <c r="O136" i="2"/>
  <c r="C136" i="2"/>
  <c r="Q135" i="2"/>
  <c r="P135" i="2"/>
  <c r="O135" i="2"/>
  <c r="C135" i="2"/>
  <c r="Q134" i="2"/>
  <c r="P134" i="2"/>
  <c r="O134" i="2"/>
  <c r="C134" i="2"/>
  <c r="Q133" i="2"/>
  <c r="P133" i="2"/>
  <c r="O133" i="2"/>
  <c r="C133" i="2"/>
  <c r="Q132" i="2"/>
  <c r="P132" i="2"/>
  <c r="O132" i="2"/>
  <c r="C132" i="2"/>
  <c r="Q131" i="2"/>
  <c r="P131" i="2"/>
  <c r="O131" i="2"/>
  <c r="C131" i="2"/>
  <c r="Q130" i="2"/>
  <c r="P130" i="2"/>
  <c r="O130" i="2"/>
  <c r="C130" i="2"/>
  <c r="Q129" i="2"/>
  <c r="P129" i="2"/>
  <c r="O129" i="2"/>
  <c r="C129" i="2"/>
  <c r="Q128" i="2"/>
  <c r="P128" i="2"/>
  <c r="O128" i="2"/>
  <c r="C128" i="2"/>
  <c r="Q127" i="2"/>
  <c r="P127" i="2"/>
  <c r="O127" i="2"/>
  <c r="C127" i="2"/>
  <c r="Q126" i="2"/>
  <c r="P126" i="2"/>
  <c r="O126" i="2"/>
  <c r="C126" i="2"/>
  <c r="Q125" i="2"/>
  <c r="P125" i="2"/>
  <c r="O125" i="2"/>
  <c r="C125" i="2"/>
  <c r="Q124" i="2"/>
  <c r="P124" i="2"/>
  <c r="O124" i="2"/>
  <c r="C124" i="2"/>
  <c r="Q123" i="2"/>
  <c r="P123" i="2"/>
  <c r="O123" i="2"/>
  <c r="C123" i="2"/>
  <c r="Q122" i="2"/>
  <c r="P122" i="2"/>
  <c r="O122" i="2"/>
  <c r="C122" i="2"/>
  <c r="Q121" i="2"/>
  <c r="P121" i="2"/>
  <c r="O121" i="2"/>
  <c r="C121" i="2"/>
  <c r="Q120" i="2"/>
  <c r="P120" i="2"/>
  <c r="O120" i="2"/>
  <c r="C120" i="2"/>
  <c r="Q119" i="2"/>
  <c r="P119" i="2"/>
  <c r="O119" i="2"/>
  <c r="C119" i="2"/>
  <c r="Q118" i="2"/>
  <c r="P118" i="2"/>
  <c r="O118" i="2"/>
  <c r="C118" i="2"/>
  <c r="Q117" i="2"/>
  <c r="P117" i="2"/>
  <c r="O117" i="2"/>
  <c r="C117" i="2"/>
  <c r="Q116" i="2"/>
  <c r="P116" i="2"/>
  <c r="O116" i="2"/>
  <c r="C116" i="2"/>
  <c r="Q115" i="2"/>
  <c r="P115" i="2"/>
  <c r="O115" i="2"/>
  <c r="C115" i="2"/>
  <c r="Q114" i="2"/>
  <c r="P114" i="2"/>
  <c r="O114" i="2"/>
  <c r="C114" i="2"/>
  <c r="Q113" i="2"/>
  <c r="P113" i="2"/>
  <c r="O113" i="2"/>
  <c r="C113" i="2"/>
  <c r="Q112" i="2"/>
  <c r="P112" i="2"/>
  <c r="O112" i="2"/>
  <c r="C112" i="2"/>
  <c r="Q111" i="2"/>
  <c r="P111" i="2"/>
  <c r="O111" i="2"/>
  <c r="C111" i="2"/>
  <c r="Q110" i="2"/>
  <c r="P110" i="2"/>
  <c r="O110" i="2"/>
  <c r="C110" i="2"/>
  <c r="Q109" i="2"/>
  <c r="P109" i="2"/>
  <c r="O109" i="2"/>
  <c r="C109" i="2"/>
  <c r="Q108" i="2"/>
  <c r="P108" i="2"/>
  <c r="O108" i="2"/>
  <c r="C108" i="2"/>
  <c r="Q107" i="2"/>
  <c r="P107" i="2"/>
  <c r="O107" i="2"/>
  <c r="C107" i="2"/>
  <c r="Q106" i="2"/>
  <c r="P106" i="2"/>
  <c r="O106" i="2"/>
  <c r="C106" i="2"/>
  <c r="Q105" i="2"/>
  <c r="P105" i="2"/>
  <c r="O105" i="2"/>
  <c r="C105" i="2"/>
  <c r="Q104" i="2"/>
  <c r="P104" i="2"/>
  <c r="O104" i="2"/>
  <c r="C104" i="2"/>
  <c r="Q103" i="2"/>
  <c r="P103" i="2"/>
  <c r="O103" i="2"/>
  <c r="C103" i="2"/>
  <c r="Q102" i="2"/>
  <c r="P102" i="2"/>
  <c r="O102" i="2"/>
  <c r="C102" i="2"/>
  <c r="Q101" i="2"/>
  <c r="P101" i="2"/>
  <c r="O101" i="2"/>
  <c r="C101" i="2"/>
  <c r="Q100" i="2"/>
  <c r="P100" i="2"/>
  <c r="O100" i="2"/>
  <c r="C100" i="2"/>
  <c r="Q99" i="2"/>
  <c r="P99" i="2"/>
  <c r="O99" i="2"/>
  <c r="C99" i="2"/>
  <c r="Q98" i="2"/>
  <c r="P98" i="2"/>
  <c r="O98" i="2"/>
  <c r="C98" i="2"/>
  <c r="Q97" i="2"/>
  <c r="P97" i="2"/>
  <c r="O97" i="2"/>
  <c r="C97" i="2"/>
  <c r="Q96" i="2"/>
  <c r="P96" i="2"/>
  <c r="O96" i="2"/>
  <c r="C96" i="2"/>
  <c r="Q95" i="2"/>
  <c r="P95" i="2"/>
  <c r="O95" i="2"/>
  <c r="K95" i="2"/>
  <c r="C95" i="2"/>
  <c r="Q94" i="2"/>
  <c r="P94" i="2"/>
  <c r="O94" i="2"/>
  <c r="C94" i="2"/>
  <c r="Q93" i="2"/>
  <c r="P93" i="2"/>
  <c r="O93" i="2"/>
  <c r="C93" i="2"/>
  <c r="Q92" i="2"/>
  <c r="P92" i="2"/>
  <c r="O92" i="2"/>
  <c r="C92" i="2"/>
  <c r="Q91" i="2"/>
  <c r="P91" i="2"/>
  <c r="O91" i="2"/>
  <c r="C91" i="2"/>
  <c r="Q90" i="2"/>
  <c r="P90" i="2"/>
  <c r="O90" i="2"/>
  <c r="C90" i="2"/>
  <c r="Q89" i="2"/>
  <c r="P89" i="2"/>
  <c r="O89" i="2"/>
  <c r="C89" i="2"/>
  <c r="Q88" i="2"/>
  <c r="P88" i="2"/>
  <c r="O88" i="2"/>
  <c r="C88" i="2"/>
  <c r="Q87" i="2"/>
  <c r="P87" i="2"/>
  <c r="O87" i="2"/>
  <c r="C87" i="2"/>
  <c r="Q86" i="2"/>
  <c r="P86" i="2"/>
  <c r="O86" i="2"/>
  <c r="C86" i="2"/>
  <c r="Q85" i="2"/>
  <c r="P85" i="2"/>
  <c r="O85" i="2"/>
  <c r="C85" i="2"/>
  <c r="Q84" i="2"/>
  <c r="P84" i="2"/>
  <c r="O84" i="2"/>
  <c r="C84" i="2"/>
  <c r="Q83" i="2"/>
  <c r="P83" i="2"/>
  <c r="O83" i="2"/>
  <c r="C83" i="2"/>
  <c r="Q82" i="2"/>
  <c r="P82" i="2"/>
  <c r="O82" i="2"/>
  <c r="C82" i="2"/>
  <c r="Q81" i="2"/>
  <c r="P81" i="2"/>
  <c r="O81" i="2"/>
  <c r="C81" i="2"/>
  <c r="Q80" i="2"/>
  <c r="P80" i="2"/>
  <c r="O80" i="2"/>
  <c r="C80" i="2"/>
  <c r="Q79" i="2"/>
  <c r="P79" i="2"/>
  <c r="O79" i="2"/>
  <c r="C79" i="2"/>
  <c r="Q78" i="2"/>
  <c r="P78" i="2"/>
  <c r="O78" i="2"/>
  <c r="C78" i="2"/>
  <c r="Q77" i="2"/>
  <c r="P77" i="2"/>
  <c r="O77" i="2"/>
  <c r="C77" i="2"/>
  <c r="Q76" i="2"/>
  <c r="P76" i="2"/>
  <c r="O76" i="2"/>
  <c r="C76" i="2"/>
  <c r="Q75" i="2"/>
  <c r="P75" i="2"/>
  <c r="O75" i="2"/>
  <c r="C75" i="2"/>
  <c r="Q74" i="2"/>
  <c r="P74" i="2"/>
  <c r="O74" i="2"/>
  <c r="C74" i="2"/>
  <c r="Q73" i="2"/>
  <c r="P73" i="2"/>
  <c r="O73" i="2"/>
  <c r="C73" i="2"/>
  <c r="Q72" i="2"/>
  <c r="P72" i="2"/>
  <c r="O72" i="2"/>
  <c r="C72" i="2"/>
  <c r="Q71" i="2"/>
  <c r="P71" i="2"/>
  <c r="O71" i="2"/>
  <c r="C71" i="2"/>
  <c r="Q70" i="2"/>
  <c r="P70" i="2"/>
  <c r="O70" i="2"/>
  <c r="C70" i="2"/>
  <c r="Q69" i="2"/>
  <c r="P69" i="2"/>
  <c r="O69" i="2"/>
  <c r="C69" i="2"/>
  <c r="Q68" i="2"/>
  <c r="P68" i="2"/>
  <c r="O68" i="2"/>
  <c r="C68" i="2"/>
  <c r="Q67" i="2"/>
  <c r="P67" i="2"/>
  <c r="O67" i="2"/>
  <c r="C67" i="2"/>
  <c r="Q66" i="2"/>
  <c r="P66" i="2"/>
  <c r="O66" i="2"/>
  <c r="C66" i="2"/>
  <c r="Q65" i="2"/>
  <c r="P65" i="2"/>
  <c r="O65" i="2"/>
  <c r="C65" i="2"/>
  <c r="Q64" i="2"/>
  <c r="P64" i="2"/>
  <c r="O64" i="2"/>
  <c r="C64" i="2"/>
  <c r="Q63" i="2"/>
  <c r="P63" i="2"/>
  <c r="O63" i="2"/>
  <c r="C63" i="2"/>
  <c r="Q62" i="2"/>
  <c r="P62" i="2"/>
  <c r="O62" i="2"/>
  <c r="C62" i="2"/>
  <c r="Q61" i="2"/>
  <c r="P61" i="2"/>
  <c r="O61" i="2"/>
  <c r="C61" i="2"/>
  <c r="Q60" i="2"/>
  <c r="P60" i="2"/>
  <c r="O60" i="2"/>
  <c r="C60" i="2"/>
  <c r="Q59" i="2"/>
  <c r="P59" i="2"/>
  <c r="O59" i="2"/>
  <c r="C59" i="2"/>
  <c r="Q58" i="2"/>
  <c r="P58" i="2"/>
  <c r="O58" i="2"/>
  <c r="C58" i="2"/>
  <c r="Q57" i="2"/>
  <c r="P57" i="2"/>
  <c r="O57" i="2"/>
  <c r="C57" i="2"/>
  <c r="Q56" i="2"/>
  <c r="P56" i="2"/>
  <c r="O56" i="2"/>
  <c r="C56" i="2"/>
  <c r="Q55" i="2"/>
  <c r="P55" i="2"/>
  <c r="O55" i="2"/>
  <c r="C55" i="2"/>
  <c r="Q54" i="2"/>
  <c r="P54" i="2"/>
  <c r="O54" i="2"/>
  <c r="C54" i="2"/>
  <c r="Q53" i="2"/>
  <c r="P53" i="2"/>
  <c r="O53" i="2"/>
  <c r="C53" i="2"/>
  <c r="Q52" i="2"/>
  <c r="P52" i="2"/>
  <c r="O52" i="2"/>
  <c r="C52" i="2"/>
  <c r="Q51" i="2"/>
  <c r="P51" i="2"/>
  <c r="O51" i="2"/>
  <c r="C51" i="2"/>
  <c r="Q50" i="2"/>
  <c r="P50" i="2"/>
  <c r="O50" i="2"/>
  <c r="C50" i="2"/>
  <c r="Q49" i="2"/>
  <c r="P49" i="2"/>
  <c r="O49" i="2"/>
  <c r="C49" i="2"/>
  <c r="Q48" i="2"/>
  <c r="P48" i="2"/>
  <c r="O48" i="2"/>
  <c r="C48" i="2"/>
  <c r="Q47" i="2"/>
  <c r="P47" i="2"/>
  <c r="O47" i="2"/>
  <c r="C47" i="2"/>
  <c r="Q46" i="2"/>
  <c r="P46" i="2"/>
  <c r="O46" i="2"/>
  <c r="C46" i="2"/>
  <c r="Q45" i="2"/>
  <c r="P45" i="2"/>
  <c r="O45" i="2"/>
  <c r="C45" i="2"/>
  <c r="Q44" i="2"/>
  <c r="P44" i="2"/>
  <c r="O44" i="2"/>
  <c r="C44" i="2"/>
  <c r="Q43" i="2"/>
  <c r="P43" i="2"/>
  <c r="O43" i="2"/>
  <c r="C43" i="2"/>
  <c r="Q42" i="2"/>
  <c r="P42" i="2"/>
  <c r="O42" i="2"/>
  <c r="C42" i="2"/>
  <c r="Q41" i="2"/>
  <c r="P41" i="2"/>
  <c r="O41" i="2"/>
  <c r="C41" i="2"/>
  <c r="Q40" i="2"/>
  <c r="P40" i="2"/>
  <c r="O40" i="2"/>
  <c r="C40" i="2"/>
  <c r="Q39" i="2"/>
  <c r="P39" i="2"/>
  <c r="O39" i="2"/>
  <c r="C39" i="2"/>
  <c r="Q38" i="2"/>
  <c r="P38" i="2"/>
  <c r="O38" i="2"/>
  <c r="C38" i="2"/>
  <c r="Q37" i="2"/>
  <c r="P37" i="2"/>
  <c r="O37" i="2"/>
  <c r="C37" i="2"/>
  <c r="Q36" i="2"/>
  <c r="P36" i="2"/>
  <c r="O36" i="2"/>
  <c r="C36" i="2"/>
  <c r="Q35" i="2"/>
  <c r="P35" i="2"/>
  <c r="O35" i="2"/>
  <c r="C35" i="2"/>
  <c r="Q34" i="2"/>
  <c r="P34" i="2"/>
  <c r="O34" i="2"/>
  <c r="C34" i="2"/>
  <c r="Q33" i="2"/>
  <c r="P33" i="2"/>
  <c r="O33" i="2"/>
  <c r="C33" i="2"/>
  <c r="Q32" i="2"/>
  <c r="P32" i="2"/>
  <c r="O32" i="2"/>
  <c r="C32" i="2"/>
  <c r="Q31" i="2"/>
  <c r="P31" i="2"/>
  <c r="O31" i="2"/>
  <c r="C31" i="2"/>
  <c r="Q30" i="2"/>
  <c r="P30" i="2"/>
  <c r="O30" i="2"/>
  <c r="C30" i="2"/>
  <c r="Q29" i="2"/>
  <c r="P29" i="2"/>
  <c r="O29" i="2"/>
  <c r="C29" i="2"/>
  <c r="Q28" i="2"/>
  <c r="P28" i="2"/>
  <c r="O28" i="2"/>
  <c r="C28" i="2"/>
  <c r="Q27" i="2"/>
  <c r="P27" i="2"/>
  <c r="O27" i="2"/>
  <c r="C27" i="2"/>
  <c r="Q26" i="2"/>
  <c r="P26" i="2"/>
  <c r="O26" i="2"/>
  <c r="C26" i="2"/>
  <c r="Q25" i="2"/>
  <c r="P25" i="2"/>
  <c r="O25" i="2"/>
  <c r="C25" i="2"/>
  <c r="Q24" i="2"/>
  <c r="P24" i="2"/>
  <c r="O24" i="2"/>
  <c r="C24" i="2"/>
  <c r="Q23" i="2"/>
  <c r="P23" i="2"/>
  <c r="O23" i="2"/>
  <c r="C23" i="2"/>
  <c r="Q22" i="2"/>
  <c r="P22" i="2"/>
  <c r="O22" i="2"/>
  <c r="C22" i="2"/>
  <c r="Q21" i="2"/>
  <c r="P21" i="2"/>
  <c r="O21" i="2"/>
  <c r="C21" i="2"/>
  <c r="Q20" i="2"/>
  <c r="P20" i="2"/>
  <c r="O20" i="2"/>
  <c r="C20" i="2"/>
  <c r="Q19" i="2"/>
  <c r="P19" i="2"/>
  <c r="O19" i="2"/>
  <c r="C19" i="2"/>
  <c r="Q18" i="2"/>
  <c r="P18" i="2"/>
  <c r="O18" i="2"/>
  <c r="C18" i="2"/>
  <c r="Q17" i="2"/>
  <c r="P17" i="2"/>
  <c r="O17" i="2"/>
  <c r="C17" i="2"/>
  <c r="Q16" i="2"/>
  <c r="P16" i="2"/>
  <c r="O16" i="2"/>
  <c r="C16" i="2"/>
  <c r="Q15" i="2"/>
  <c r="P15" i="2"/>
  <c r="O15" i="2"/>
  <c r="C15" i="2"/>
  <c r="Q14" i="2"/>
  <c r="P14" i="2"/>
  <c r="O14" i="2"/>
  <c r="C14" i="2"/>
  <c r="Q13" i="2"/>
  <c r="P13" i="2"/>
  <c r="O13" i="2"/>
  <c r="C13" i="2"/>
  <c r="Q12" i="2"/>
  <c r="P12" i="2"/>
  <c r="O12" i="2"/>
  <c r="C12" i="2"/>
  <c r="Q11" i="2"/>
  <c r="P11" i="2"/>
  <c r="O11" i="2"/>
  <c r="C11" i="2"/>
  <c r="Q10" i="2"/>
  <c r="P10" i="2"/>
  <c r="O10" i="2"/>
  <c r="C10" i="2"/>
  <c r="Q9" i="2"/>
  <c r="P9" i="2"/>
  <c r="O9" i="2"/>
  <c r="C9" i="2"/>
  <c r="Q8" i="2"/>
  <c r="P8" i="2"/>
  <c r="O8" i="2"/>
  <c r="C8" i="2"/>
  <c r="Q7" i="2"/>
  <c r="P7" i="2"/>
  <c r="O7" i="2"/>
  <c r="C7" i="2"/>
  <c r="Q6" i="2"/>
  <c r="P6" i="2"/>
  <c r="O6" i="2"/>
  <c r="C6" i="2"/>
  <c r="Q5" i="2"/>
  <c r="P5" i="2"/>
  <c r="O5" i="2"/>
  <c r="C5" i="2"/>
  <c r="Q4" i="2"/>
  <c r="P4" i="2"/>
  <c r="O4" i="2"/>
  <c r="C4" i="2"/>
  <c r="Q3" i="2"/>
  <c r="P3" i="2"/>
  <c r="O3" i="2"/>
  <c r="C3" i="2"/>
</calcChain>
</file>

<file path=xl/sharedStrings.xml><?xml version="1.0" encoding="utf-8"?>
<sst xmlns="http://schemas.openxmlformats.org/spreadsheetml/2006/main" count="1348" uniqueCount="247">
  <si>
    <t>DATA-PRODUCCIÓN</t>
  </si>
  <si>
    <t>COD-LOTE</t>
  </si>
  <si>
    <t>CÓDIGO FUNDO</t>
  </si>
  <si>
    <t>FUNDO</t>
  </si>
  <si>
    <t>MODULO</t>
  </si>
  <si>
    <t>TURNO</t>
  </si>
  <si>
    <t xml:space="preserve">LOTE </t>
  </si>
  <si>
    <t>VARIEDAD</t>
  </si>
  <si>
    <t xml:space="preserve">FECHA DE PLANTACION </t>
  </si>
  <si>
    <t xml:space="preserve">AREA DE RIEGO </t>
  </si>
  <si>
    <t>DENSIDAD</t>
  </si>
  <si>
    <t>REF</t>
  </si>
  <si>
    <t>LOTE</t>
  </si>
  <si>
    <t>TURNO1</t>
  </si>
  <si>
    <t>MODULO 2</t>
  </si>
  <si>
    <t>MODULO 3</t>
  </si>
  <si>
    <t>QB</t>
  </si>
  <si>
    <t>QBERRIES</t>
  </si>
  <si>
    <t>M1</t>
  </si>
  <si>
    <t>SEKOYA POP</t>
  </si>
  <si>
    <t>I</t>
  </si>
  <si>
    <t>L003-</t>
  </si>
  <si>
    <t>L004-</t>
  </si>
  <si>
    <t>L005-</t>
  </si>
  <si>
    <t>L043-</t>
  </si>
  <si>
    <t>L044-</t>
  </si>
  <si>
    <t>L045-</t>
  </si>
  <si>
    <t>L046-</t>
  </si>
  <si>
    <t>L006-</t>
  </si>
  <si>
    <t>L007-</t>
  </si>
  <si>
    <t>L008-</t>
  </si>
  <si>
    <t>L009-</t>
  </si>
  <si>
    <t>L010-</t>
  </si>
  <si>
    <t>L011-</t>
  </si>
  <si>
    <t>L012-</t>
  </si>
  <si>
    <t>L013-</t>
  </si>
  <si>
    <t>L017-</t>
  </si>
  <si>
    <t>L018-</t>
  </si>
  <si>
    <t>L019-</t>
  </si>
  <si>
    <t>L020-</t>
  </si>
  <si>
    <t>L021-</t>
  </si>
  <si>
    <t>L022-</t>
  </si>
  <si>
    <t>L023-</t>
  </si>
  <si>
    <t>L024-</t>
  </si>
  <si>
    <t>L025-</t>
  </si>
  <si>
    <t>L026-</t>
  </si>
  <si>
    <t>L027-</t>
  </si>
  <si>
    <t>L028-</t>
  </si>
  <si>
    <t>L029-</t>
  </si>
  <si>
    <t>L030-</t>
  </si>
  <si>
    <t>L031-</t>
  </si>
  <si>
    <t>L032-</t>
  </si>
  <si>
    <t>L033-</t>
  </si>
  <si>
    <t>L034-</t>
  </si>
  <si>
    <t>L035-</t>
  </si>
  <si>
    <t>L036-</t>
  </si>
  <si>
    <t>L037-</t>
  </si>
  <si>
    <t>L038-</t>
  </si>
  <si>
    <t>L039-</t>
  </si>
  <si>
    <t>L040-</t>
  </si>
  <si>
    <t>L041-</t>
  </si>
  <si>
    <t>L042-</t>
  </si>
  <si>
    <t>M2</t>
  </si>
  <si>
    <t>L047-</t>
  </si>
  <si>
    <t>L048-</t>
  </si>
  <si>
    <t>L049-</t>
  </si>
  <si>
    <t>L050-</t>
  </si>
  <si>
    <t>L051-</t>
  </si>
  <si>
    <t>L052-</t>
  </si>
  <si>
    <t>L091-</t>
  </si>
  <si>
    <t>L092-</t>
  </si>
  <si>
    <t>L093-</t>
  </si>
  <si>
    <t>L094-</t>
  </si>
  <si>
    <t>L053-</t>
  </si>
  <si>
    <t>L054-</t>
  </si>
  <si>
    <t>L055-</t>
  </si>
  <si>
    <t>L056-</t>
  </si>
  <si>
    <t>L057-</t>
  </si>
  <si>
    <t>L058-</t>
  </si>
  <si>
    <t>L059-</t>
  </si>
  <si>
    <t>L060-</t>
  </si>
  <si>
    <t>L061-</t>
  </si>
  <si>
    <t>L062-</t>
  </si>
  <si>
    <t>L063-</t>
  </si>
  <si>
    <t>L064-</t>
  </si>
  <si>
    <t>L065-</t>
  </si>
  <si>
    <t>L066-</t>
  </si>
  <si>
    <t>L067-</t>
  </si>
  <si>
    <t>L068-</t>
  </si>
  <si>
    <t>L275-</t>
  </si>
  <si>
    <t>L069-</t>
  </si>
  <si>
    <t>L070-</t>
  </si>
  <si>
    <t>L071-</t>
  </si>
  <si>
    <t>L072-</t>
  </si>
  <si>
    <t>L073-</t>
  </si>
  <si>
    <t>L074-</t>
  </si>
  <si>
    <t>L075-</t>
  </si>
  <si>
    <t>L076-</t>
  </si>
  <si>
    <t>L077-</t>
  </si>
  <si>
    <t>L078-</t>
  </si>
  <si>
    <t>L079-</t>
  </si>
  <si>
    <t>L080-</t>
  </si>
  <si>
    <t>L081-</t>
  </si>
  <si>
    <t>L082-</t>
  </si>
  <si>
    <t>L083-</t>
  </si>
  <si>
    <t>L084-</t>
  </si>
  <si>
    <t>L085-</t>
  </si>
  <si>
    <t>L086-</t>
  </si>
  <si>
    <t>L276-</t>
  </si>
  <si>
    <t>L087-</t>
  </si>
  <si>
    <t>L088-</t>
  </si>
  <si>
    <t>L089-</t>
  </si>
  <si>
    <t>L090-</t>
  </si>
  <si>
    <t>M3</t>
  </si>
  <si>
    <t>L095-</t>
  </si>
  <si>
    <t>L096-</t>
  </si>
  <si>
    <t>L097-</t>
  </si>
  <si>
    <t>L098-</t>
  </si>
  <si>
    <t>L099-</t>
  </si>
  <si>
    <t>L100-</t>
  </si>
  <si>
    <t>L101-</t>
  </si>
  <si>
    <t>L102-</t>
  </si>
  <si>
    <t>L103-</t>
  </si>
  <si>
    <t>L104-</t>
  </si>
  <si>
    <t>L105-</t>
  </si>
  <si>
    <t>L106-</t>
  </si>
  <si>
    <t>L107-</t>
  </si>
  <si>
    <t>L108-</t>
  </si>
  <si>
    <t>L109-</t>
  </si>
  <si>
    <t>L110-</t>
  </si>
  <si>
    <t>L111-</t>
  </si>
  <si>
    <t>L112-</t>
  </si>
  <si>
    <t>L113-</t>
  </si>
  <si>
    <t>L114-</t>
  </si>
  <si>
    <t>L115-</t>
  </si>
  <si>
    <t>L116-</t>
  </si>
  <si>
    <t>L117-</t>
  </si>
  <si>
    <t>L118-</t>
  </si>
  <si>
    <t>L119-</t>
  </si>
  <si>
    <t>L120-</t>
  </si>
  <si>
    <t>L121-</t>
  </si>
  <si>
    <t>L122-</t>
  </si>
  <si>
    <t>L123-</t>
  </si>
  <si>
    <t>L124-</t>
  </si>
  <si>
    <t>L125-</t>
  </si>
  <si>
    <t>L126-</t>
  </si>
  <si>
    <t>L127-</t>
  </si>
  <si>
    <t>L128-</t>
  </si>
  <si>
    <t>L129-</t>
  </si>
  <si>
    <t>L130-</t>
  </si>
  <si>
    <t>L131-</t>
  </si>
  <si>
    <t>L132-</t>
  </si>
  <si>
    <t>L133-</t>
  </si>
  <si>
    <t>L134-</t>
  </si>
  <si>
    <t>L135-</t>
  </si>
  <si>
    <t>L136-</t>
  </si>
  <si>
    <t>M4</t>
  </si>
  <si>
    <t>L137-</t>
  </si>
  <si>
    <t>L138-</t>
  </si>
  <si>
    <t>L139-</t>
  </si>
  <si>
    <t>L140-</t>
  </si>
  <si>
    <t>L141-</t>
  </si>
  <si>
    <t>L142-</t>
  </si>
  <si>
    <t>L143-</t>
  </si>
  <si>
    <t>L144-</t>
  </si>
  <si>
    <t>L145-</t>
  </si>
  <si>
    <t>L146-</t>
  </si>
  <si>
    <t>L147-</t>
  </si>
  <si>
    <t>L148-</t>
  </si>
  <si>
    <t>L149-</t>
  </si>
  <si>
    <t>L150-</t>
  </si>
  <si>
    <t>L151-</t>
  </si>
  <si>
    <t>L152-</t>
  </si>
  <si>
    <t>L153-</t>
  </si>
  <si>
    <t>L154-</t>
  </si>
  <si>
    <t>L155-</t>
  </si>
  <si>
    <t>L156-</t>
  </si>
  <si>
    <t>L157-</t>
  </si>
  <si>
    <t>L158-</t>
  </si>
  <si>
    <t>L159-</t>
  </si>
  <si>
    <t>L160-</t>
  </si>
  <si>
    <t>L161-</t>
  </si>
  <si>
    <t>L162-</t>
  </si>
  <si>
    <t>L163-</t>
  </si>
  <si>
    <t>L164-</t>
  </si>
  <si>
    <t>L165-</t>
  </si>
  <si>
    <t>L166-</t>
  </si>
  <si>
    <t>L167-</t>
  </si>
  <si>
    <t>L168-</t>
  </si>
  <si>
    <t>L169-</t>
  </si>
  <si>
    <t>L170-</t>
  </si>
  <si>
    <t>L171-</t>
  </si>
  <si>
    <t>L172-</t>
  </si>
  <si>
    <t>L173-</t>
  </si>
  <si>
    <t>L174-</t>
  </si>
  <si>
    <t>L175-</t>
  </si>
  <si>
    <t>L176-</t>
  </si>
  <si>
    <t>L177-</t>
  </si>
  <si>
    <t>L178-</t>
  </si>
  <si>
    <t>L179-</t>
  </si>
  <si>
    <t>L180-</t>
  </si>
  <si>
    <t>L181-</t>
  </si>
  <si>
    <t>M5</t>
  </si>
  <si>
    <t>L182-</t>
  </si>
  <si>
    <t>L183-</t>
  </si>
  <si>
    <t>L184-</t>
  </si>
  <si>
    <t>L185-</t>
  </si>
  <si>
    <t>L186-</t>
  </si>
  <si>
    <t>L187-</t>
  </si>
  <si>
    <t>L188-</t>
  </si>
  <si>
    <t>L189-</t>
  </si>
  <si>
    <t>L190-</t>
  </si>
  <si>
    <t>L191-</t>
  </si>
  <si>
    <t>L192-</t>
  </si>
  <si>
    <t>L193-</t>
  </si>
  <si>
    <t>L194-</t>
  </si>
  <si>
    <t>L195-</t>
  </si>
  <si>
    <t>L196-</t>
  </si>
  <si>
    <t>L197-</t>
  </si>
  <si>
    <t>L217-</t>
  </si>
  <si>
    <t>L218-</t>
  </si>
  <si>
    <t>L219-</t>
  </si>
  <si>
    <t>L220-</t>
  </si>
  <si>
    <t>L221-</t>
  </si>
  <si>
    <t>L222-</t>
  </si>
  <si>
    <t>L225-</t>
  </si>
  <si>
    <t>L230-</t>
  </si>
  <si>
    <t>L231-</t>
  </si>
  <si>
    <t>L232-</t>
  </si>
  <si>
    <t>L233-</t>
  </si>
  <si>
    <t>L234-</t>
  </si>
  <si>
    <t>L235-</t>
  </si>
  <si>
    <t>L236-</t>
  </si>
  <si>
    <t>L237-</t>
  </si>
  <si>
    <t>L238-</t>
  </si>
  <si>
    <t>L239-</t>
  </si>
  <si>
    <t>L240-</t>
  </si>
  <si>
    <t>L241-</t>
  </si>
  <si>
    <t>L242-</t>
  </si>
  <si>
    <t>L243-</t>
  </si>
  <si>
    <t>L244-</t>
  </si>
  <si>
    <t>L245-</t>
  </si>
  <si>
    <t>L246-</t>
  </si>
  <si>
    <t>L247-</t>
  </si>
  <si>
    <t>L277-</t>
  </si>
  <si>
    <t>L278-</t>
  </si>
  <si>
    <t>L279-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</si>
</sst>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 tint="4.9989318521683403E-2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/>
    </xf>
    <xf numFmtId="0" fontId="1" fillId="0" borderId="0" xfId="1" applyAlignment="1">
      <alignment horizontal="center"/>
    </xf>
    <xf numFmtId="14" fontId="5" fillId="4" borderId="0" xfId="0" applyNumberFormat="1" applyFont="1" applyFill="1" applyAlignment="1">
      <alignment horizontal="center"/>
    </xf>
    <xf numFmtId="0" fontId="5" fillId="0" borderId="0" xfId="0" applyFont="1" applyAlignment="1">
      <alignment horizontal="center"/>
    </xf>
    <xf numFmtId="2" fontId="5" fillId="4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0" fontId="6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/>
    </xf>
    <xf numFmtId="0" fontId="3" fillId="0" borderId="0" xfId="1" applyFont="1" applyAlignment="1">
      <alignment horizontal="center"/>
    </xf>
    <xf numFmtId="14" fontId="6" fillId="4" borderId="0" xfId="0" applyNumberFormat="1" applyFont="1" applyFill="1" applyAlignment="1">
      <alignment horizontal="center"/>
    </xf>
    <xf numFmtId="2" fontId="6" fillId="4" borderId="0" xfId="0" applyNumberFormat="1" applyFont="1" applyFill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/>
    <xf numFmtId="0" fontId="5" fillId="4" borderId="0" xfId="0" applyFont="1" applyFill="1" applyAlignment="1">
      <alignment horizontal="center" vertical="center"/>
    </xf>
    <xf numFmtId="14" fontId="0" fillId="4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 vertical="center"/>
    </xf>
    <xf numFmtId="2" fontId="5" fillId="4" borderId="0" xfId="0" applyNumberFormat="1" applyFont="1" applyFill="1" applyAlignment="1">
      <alignment horizontal="center" vertical="center"/>
    </xf>
  </cellXfs>
  <cellStyles count="2">
    <cellStyle name="Normal" xfId="0" builtinId="0"/>
    <cellStyle name="Normal 2 2" xfId="1" xr:uid="{316C3876-AE94-4198-894D-FB203F2573DD}"/>
  </cellStyles>
  <dxfs count="12">
    <dxf>
      <alignment horizontal="center" vertical="bottom" textRotation="0" wrapText="0" indent="0" justifyLastLine="0" shrinkToFit="0" readingOrder="0"/>
    </dxf>
    <dxf>
      <font>
        <color auto="1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color auto="1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color auto="1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atianaLe&#243;n\Desktop\COSECHA%202026\QBERRIES-CAMPA&#209;A-2026%20E1-Sekoya%202026%20SEM32.xlsx" TargetMode="External"/><Relationship Id="rId1" Type="http://schemas.openxmlformats.org/officeDocument/2006/relationships/externalLinkPath" Target="COSECHA%202026/QBERRIES-CAMPA&#209;A-2026%20E1-Sekoya%202026%20SEM3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talle8"/>
      <sheetName val="DATA QBERRIES"/>
      <sheetName val="RESUMEN"/>
      <sheetName val="N° DE ENTRADAS QB"/>
      <sheetName val="Hoja10"/>
      <sheetName val="acum-descrate"/>
      <sheetName val="Detalle6"/>
      <sheetName val="Hoja4"/>
      <sheetName val="Hoja9"/>
      <sheetName val="COSTOS"/>
      <sheetName val="Hoja8"/>
      <sheetName val="DATA EXP Y CAMP   (2)"/>
      <sheetName val="KG PLANTA Y CAMPO"/>
      <sheetName val="DATA EXP Y CAMP "/>
      <sheetName val="N° DE ENTRADAS GAP"/>
      <sheetName val="KG-MODULO"/>
      <sheetName val="Detalle5"/>
      <sheetName val="Detalle4"/>
      <sheetName val="CHINA"/>
      <sheetName val="Detalle1"/>
      <sheetName val="Detalle2"/>
      <sheetName val="Detalle3"/>
      <sheetName val="Hoja3"/>
      <sheetName val="Hoja5"/>
      <sheetName val="Hoja6"/>
      <sheetName val="Hoja7"/>
      <sheetName val="Hoja2"/>
      <sheetName val="RESUMEN JARRAS"/>
      <sheetName val="Hoja1"/>
      <sheetName val="TATI"/>
      <sheetName val="DT-FRECUENCIA-QB"/>
      <sheetName val="DATA QB- INGRESOS "/>
      <sheetName val="KG ACUMULADO  "/>
      <sheetName val="REINGRESO-QB"/>
      <sheetName val="KG-ACUMUL-QB)"/>
      <sheetName val="FRECUENCIAS DIAS"/>
      <sheetName val="PLANO- KG ACUMU"/>
      <sheetName val="EVOLUCIÓN DESCATE"/>
      <sheetName val="test"/>
      <sheetName val="-ACOPIO-QBERRIES"/>
      <sheetName val="NF- QBERRIES-REING"/>
      <sheetName val="INF- QN2-REING "/>
      <sheetName val="-ACOPIO-Q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407CBF-6437-4CAE-8CA6-76DED9371649}" name="Tabla5" displayName="Tabla5" ref="C2:Q224" totalsRowShown="0">
  <autoFilter ref="C2:Q224" xr:uid="{00000000-000C-0000-FFFF-FFFF03000000}"/>
  <sortState xmlns:xlrd2="http://schemas.microsoft.com/office/spreadsheetml/2017/richdata2" ref="C3:Q133">
    <sortCondition ref="H2:H224"/>
  </sortState>
  <tableColumns count="15">
    <tableColumn id="1" xr3:uid="{207AF7A6-A934-4860-9F5F-DFD020B0DA93}" name="COD-LOTE">
      <calculatedColumnFormula>CONCATENATE(MID($D3,1,1),$H3)</calculatedColumnFormula>
    </tableColumn>
    <tableColumn id="10" xr3:uid="{7D678C39-2BAC-47E9-BBEC-527F7340C4DD}" name="CÓDIGO FUNDO"/>
    <tableColumn id="2" xr3:uid="{6E1D9529-3FD9-499D-A7E9-1B168E39B5BC}" name="FUNDO"/>
    <tableColumn id="3" xr3:uid="{F00F327C-7BB7-464A-BE48-5EDCCFE38C7B}" name="MODULO" dataDxfId="11"/>
    <tableColumn id="4" xr3:uid="{3673B80D-CB02-4A6B-A334-739A76613631}" name="TURNO" dataDxfId="10"/>
    <tableColumn id="5" xr3:uid="{50BDFCCE-6509-4B86-A4F8-8D3C0DB536B8}" name="LOTE " dataDxfId="9"/>
    <tableColumn id="6" xr3:uid="{366AF9C4-C5A9-49FD-98B4-44B67A7F192C}" name="VARIEDAD" dataDxfId="8"/>
    <tableColumn id="7" xr3:uid="{48F605A5-A6BA-4D56-BFE8-E0839683DA6F}" name="FECHA DE PLANTACION " dataDxfId="7"/>
    <tableColumn id="8" xr3:uid="{1B003A31-0D9A-4E4D-A5D2-791A84F69706}" name="AREA DE RIEGO " dataDxfId="6"/>
    <tableColumn id="9" xr3:uid="{AAC5843D-B8CF-4042-910C-2E307389B772}" name="DENSIDAD" dataDxfId="5"/>
    <tableColumn id="11" xr3:uid="{5080E169-A9AA-4CEC-BCB3-C698CCA95CCB}" name="REF" dataDxfId="4"/>
    <tableColumn id="12" xr3:uid="{B82924E3-CD0F-448F-84FC-8D30A682E29B}" name="LOTE" dataDxfId="3"/>
    <tableColumn id="13" xr3:uid="{29D45FAA-506B-4BDF-AC2F-1AE734AAAB3B}" name="TURNO1" dataDxfId="2">
      <calculatedColumnFormula>Tabla5[[#This Row],[TURNO]]</calculatedColumnFormula>
    </tableColumn>
    <tableColumn id="14" xr3:uid="{FE060863-854F-4212-A105-E533B41BD339}" name="MODULO 2" dataDxfId="1">
      <calculatedColumnFormula>Tabla5[[#This Row],[MODULO]]</calculatedColumnFormula>
    </tableColumn>
    <tableColumn id="15" xr3:uid="{97C29573-DD6C-4E07-9D0A-6D775292BC43}" name="MODULO 3" dataDxfId="0">
      <calculatedColumnFormula>CONCATENATE(Tabla5[[#This Row],[MODULO]],"/T",Tabla5[[#This Row],[TURNO]])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0B5F8-8D99-40F7-B42B-84F712C73C80}">
  <sheetPr>
    <tabColor theme="9"/>
  </sheetPr>
  <dimension ref="C1:R224"/>
  <sheetViews>
    <sheetView showGridLines="0" tabSelected="1" zoomScale="74" zoomScaleNormal="69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16" sqref="G16"/>
    </sheetView>
  </sheetViews>
  <sheetFormatPr baseColWidth="10" defaultColWidth="11.44140625" defaultRowHeight="14.4" x14ac:dyDescent="0.3"/>
  <cols>
    <col min="3" max="3" width="13.5546875" bestFit="1" customWidth="1"/>
    <col min="4" max="4" width="16.33203125" customWidth="1"/>
    <col min="5" max="5" width="18.5546875" customWidth="1"/>
    <col min="6" max="6" width="18.6640625" bestFit="1" customWidth="1"/>
    <col min="7" max="7" width="16.6640625" bestFit="1" customWidth="1"/>
    <col min="8" max="8" width="10.5546875" bestFit="1" customWidth="1"/>
    <col min="9" max="9" width="14.6640625" bestFit="1" customWidth="1"/>
    <col min="10" max="10" width="25.6640625" bestFit="1" customWidth="1"/>
    <col min="11" max="11" width="19" bestFit="1" customWidth="1"/>
    <col min="12" max="12" width="14.6640625" bestFit="1" customWidth="1"/>
    <col min="13" max="13" width="9.109375" bestFit="1" customWidth="1"/>
    <col min="14" max="14" width="10.109375" bestFit="1" customWidth="1"/>
    <col min="15" max="16" width="0" hidden="1" customWidth="1"/>
  </cols>
  <sheetData>
    <row r="1" spans="3:17" x14ac:dyDescent="0.3">
      <c r="N1" s="1" t="s">
        <v>0</v>
      </c>
      <c r="O1" s="1"/>
      <c r="P1" s="1"/>
    </row>
    <row r="2" spans="3:17" x14ac:dyDescent="0.3">
      <c r="C2" s="2" t="s">
        <v>1</v>
      </c>
      <c r="D2" s="2" t="s">
        <v>2</v>
      </c>
      <c r="E2" s="3" t="s">
        <v>3</v>
      </c>
      <c r="F2" s="3" t="s">
        <v>4</v>
      </c>
      <c r="G2" s="4" t="s">
        <v>5</v>
      </c>
      <c r="H2" s="3" t="s">
        <v>6</v>
      </c>
      <c r="I2" s="4" t="s">
        <v>7</v>
      </c>
      <c r="J2" s="4" t="s">
        <v>8</v>
      </c>
      <c r="K2" s="3" t="s">
        <v>9</v>
      </c>
      <c r="L2" s="5" t="s">
        <v>10</v>
      </c>
      <c r="M2" s="4" t="s">
        <v>11</v>
      </c>
      <c r="N2" s="6" t="s">
        <v>12</v>
      </c>
      <c r="O2" s="6" t="s">
        <v>13</v>
      </c>
      <c r="P2" s="6" t="s">
        <v>14</v>
      </c>
      <c r="Q2" s="7" t="s">
        <v>15</v>
      </c>
    </row>
    <row r="3" spans="3:17" x14ac:dyDescent="0.3">
      <c r="C3" s="8" t="str">
        <f t="shared" ref="C3:C66" si="0">CONCATENATE(MID($D3,1,1),$H3)</f>
        <v>Q3</v>
      </c>
      <c r="D3" s="8" t="s">
        <v>16</v>
      </c>
      <c r="E3" s="8" t="s">
        <v>17</v>
      </c>
      <c r="F3" s="9" t="s">
        <v>18</v>
      </c>
      <c r="G3" s="9">
        <v>1</v>
      </c>
      <c r="H3" s="9">
        <v>3</v>
      </c>
      <c r="I3" s="10" t="s">
        <v>19</v>
      </c>
      <c r="J3" s="11">
        <v>45772</v>
      </c>
      <c r="K3" s="9">
        <v>0.99</v>
      </c>
      <c r="L3" s="12">
        <v>6534</v>
      </c>
      <c r="M3" s="8" t="s">
        <v>20</v>
      </c>
      <c r="N3" s="8" t="s">
        <v>21</v>
      </c>
      <c r="O3" s="8">
        <f>Tabla5[[#This Row],[TURNO]]</f>
        <v>1</v>
      </c>
      <c r="P3" s="8" t="str">
        <f>Tabla5[[#This Row],[MODULO]]</f>
        <v>M1</v>
      </c>
      <c r="Q3" s="8" t="str">
        <f>CONCATENATE(Tabla5[[#This Row],[MODULO]],"/T",Tabla5[[#This Row],[TURNO]])</f>
        <v>M1/T1</v>
      </c>
    </row>
    <row r="4" spans="3:17" x14ac:dyDescent="0.3">
      <c r="C4" s="8" t="str">
        <f t="shared" si="0"/>
        <v>Q4</v>
      </c>
      <c r="D4" s="8" t="s">
        <v>16</v>
      </c>
      <c r="E4" s="8" t="s">
        <v>17</v>
      </c>
      <c r="F4" s="9" t="s">
        <v>18</v>
      </c>
      <c r="G4" s="9">
        <v>1</v>
      </c>
      <c r="H4" s="9">
        <v>4</v>
      </c>
      <c r="I4" s="10" t="s">
        <v>19</v>
      </c>
      <c r="J4" s="11">
        <v>45772</v>
      </c>
      <c r="K4" s="9">
        <v>0.7</v>
      </c>
      <c r="L4" s="12">
        <v>4521</v>
      </c>
      <c r="M4" s="8" t="s">
        <v>20</v>
      </c>
      <c r="N4" s="8" t="s">
        <v>22</v>
      </c>
      <c r="O4" s="8">
        <f>Tabla5[[#This Row],[TURNO]]</f>
        <v>1</v>
      </c>
      <c r="P4" s="8" t="str">
        <f>Tabla5[[#This Row],[MODULO]]</f>
        <v>M1</v>
      </c>
      <c r="Q4" s="8" t="str">
        <f>CONCATENATE(Tabla5[[#This Row],[MODULO]],"/T",Tabla5[[#This Row],[TURNO]])</f>
        <v>M1/T1</v>
      </c>
    </row>
    <row r="5" spans="3:17" x14ac:dyDescent="0.3">
      <c r="C5" s="8" t="str">
        <f t="shared" si="0"/>
        <v>Q5</v>
      </c>
      <c r="D5" s="8" t="s">
        <v>16</v>
      </c>
      <c r="E5" s="8" t="s">
        <v>17</v>
      </c>
      <c r="F5" s="9" t="s">
        <v>18</v>
      </c>
      <c r="G5" s="9">
        <v>1</v>
      </c>
      <c r="H5" s="9">
        <v>5</v>
      </c>
      <c r="I5" s="10" t="s">
        <v>19</v>
      </c>
      <c r="J5" s="11">
        <v>45771</v>
      </c>
      <c r="K5" s="9">
        <v>0.28000000000000003</v>
      </c>
      <c r="L5" s="12">
        <v>1912</v>
      </c>
      <c r="M5" s="8" t="s">
        <v>20</v>
      </c>
      <c r="N5" s="8" t="s">
        <v>23</v>
      </c>
      <c r="O5" s="8">
        <f>Tabla5[[#This Row],[TURNO]]</f>
        <v>1</v>
      </c>
      <c r="P5" s="8" t="str">
        <f>Tabla5[[#This Row],[MODULO]]</f>
        <v>M1</v>
      </c>
      <c r="Q5" s="8" t="str">
        <f>CONCATENATE(Tabla5[[#This Row],[MODULO]],"/T",Tabla5[[#This Row],[TURNO]])</f>
        <v>M1/T1</v>
      </c>
    </row>
    <row r="6" spans="3:17" x14ac:dyDescent="0.3">
      <c r="C6" s="8" t="str">
        <f t="shared" si="0"/>
        <v>Q43</v>
      </c>
      <c r="D6" s="8" t="s">
        <v>16</v>
      </c>
      <c r="E6" s="8" t="s">
        <v>17</v>
      </c>
      <c r="F6" s="9" t="s">
        <v>18</v>
      </c>
      <c r="G6" s="9">
        <v>10</v>
      </c>
      <c r="H6" s="9">
        <v>43</v>
      </c>
      <c r="I6" s="10" t="s">
        <v>19</v>
      </c>
      <c r="J6" s="11">
        <v>45763</v>
      </c>
      <c r="K6" s="9">
        <v>0.98</v>
      </c>
      <c r="L6" s="12">
        <v>6536</v>
      </c>
      <c r="M6" s="8" t="s">
        <v>20</v>
      </c>
      <c r="N6" s="8" t="s">
        <v>24</v>
      </c>
      <c r="O6" s="8">
        <f>Tabla5[[#This Row],[TURNO]]</f>
        <v>10</v>
      </c>
      <c r="P6" s="8" t="str">
        <f>Tabla5[[#This Row],[MODULO]]</f>
        <v>M1</v>
      </c>
      <c r="Q6" s="8" t="str">
        <f>CONCATENATE(Tabla5[[#This Row],[MODULO]],"/T",Tabla5[[#This Row],[TURNO]])</f>
        <v>M1/T10</v>
      </c>
    </row>
    <row r="7" spans="3:17" x14ac:dyDescent="0.3">
      <c r="C7" s="8" t="str">
        <f t="shared" si="0"/>
        <v>Q44</v>
      </c>
      <c r="D7" s="8" t="s">
        <v>16</v>
      </c>
      <c r="E7" s="8" t="s">
        <v>17</v>
      </c>
      <c r="F7" s="9" t="s">
        <v>18</v>
      </c>
      <c r="G7" s="9">
        <v>10</v>
      </c>
      <c r="H7" s="9">
        <v>44</v>
      </c>
      <c r="I7" s="10" t="s">
        <v>19</v>
      </c>
      <c r="J7" s="11">
        <v>45763</v>
      </c>
      <c r="K7" s="9">
        <v>0.93</v>
      </c>
      <c r="L7" s="12">
        <v>6076</v>
      </c>
      <c r="M7" s="8" t="s">
        <v>20</v>
      </c>
      <c r="N7" s="8" t="s">
        <v>25</v>
      </c>
      <c r="O7" s="8">
        <f>Tabla5[[#This Row],[TURNO]]</f>
        <v>10</v>
      </c>
      <c r="P7" s="8" t="str">
        <f>Tabla5[[#This Row],[MODULO]]</f>
        <v>M1</v>
      </c>
      <c r="Q7" s="8" t="str">
        <f>CONCATENATE(Tabla5[[#This Row],[MODULO]],"/T",Tabla5[[#This Row],[TURNO]])</f>
        <v>M1/T10</v>
      </c>
    </row>
    <row r="8" spans="3:17" x14ac:dyDescent="0.3">
      <c r="C8" s="8" t="str">
        <f t="shared" si="0"/>
        <v>Q45</v>
      </c>
      <c r="D8" s="8" t="s">
        <v>16</v>
      </c>
      <c r="E8" s="8" t="s">
        <v>17</v>
      </c>
      <c r="F8" s="9" t="s">
        <v>18</v>
      </c>
      <c r="G8" s="9">
        <v>10</v>
      </c>
      <c r="H8" s="9">
        <v>45</v>
      </c>
      <c r="I8" s="10" t="s">
        <v>19</v>
      </c>
      <c r="J8" s="11">
        <v>45763</v>
      </c>
      <c r="K8" s="9">
        <v>0.3</v>
      </c>
      <c r="L8" s="12">
        <v>1940</v>
      </c>
      <c r="M8" s="8" t="s">
        <v>20</v>
      </c>
      <c r="N8" s="8" t="s">
        <v>26</v>
      </c>
      <c r="O8" s="8">
        <f>Tabla5[[#This Row],[TURNO]]</f>
        <v>10</v>
      </c>
      <c r="P8" s="8" t="str">
        <f>Tabla5[[#This Row],[MODULO]]</f>
        <v>M1</v>
      </c>
      <c r="Q8" s="8" t="str">
        <f>CONCATENATE(Tabla5[[#This Row],[MODULO]],"/T",Tabla5[[#This Row],[TURNO]])</f>
        <v>M1/T10</v>
      </c>
    </row>
    <row r="9" spans="3:17" x14ac:dyDescent="0.3">
      <c r="C9" s="8" t="str">
        <f t="shared" si="0"/>
        <v>Q46</v>
      </c>
      <c r="D9" s="8" t="s">
        <v>16</v>
      </c>
      <c r="E9" s="8" t="s">
        <v>17</v>
      </c>
      <c r="F9" s="9" t="s">
        <v>18</v>
      </c>
      <c r="G9" s="9">
        <v>10</v>
      </c>
      <c r="H9" s="9">
        <v>46</v>
      </c>
      <c r="I9" s="10" t="s">
        <v>19</v>
      </c>
      <c r="J9" s="11">
        <v>45763</v>
      </c>
      <c r="K9" s="9">
        <v>0.52</v>
      </c>
      <c r="L9" s="12">
        <v>3470</v>
      </c>
      <c r="M9" s="8" t="s">
        <v>20</v>
      </c>
      <c r="N9" s="8" t="s">
        <v>27</v>
      </c>
      <c r="O9" s="8">
        <f>Tabla5[[#This Row],[TURNO]]</f>
        <v>10</v>
      </c>
      <c r="P9" s="8" t="str">
        <f>Tabla5[[#This Row],[MODULO]]</f>
        <v>M1</v>
      </c>
      <c r="Q9" s="8" t="str">
        <f>CONCATENATE(Tabla5[[#This Row],[MODULO]],"/T",Tabla5[[#This Row],[TURNO]])</f>
        <v>M1/T10</v>
      </c>
    </row>
    <row r="10" spans="3:17" x14ac:dyDescent="0.3">
      <c r="C10" s="8" t="str">
        <f t="shared" si="0"/>
        <v>Q6</v>
      </c>
      <c r="D10" s="8" t="s">
        <v>16</v>
      </c>
      <c r="E10" s="8" t="s">
        <v>17</v>
      </c>
      <c r="F10" s="9" t="s">
        <v>18</v>
      </c>
      <c r="G10" s="9">
        <v>2</v>
      </c>
      <c r="H10" s="9">
        <v>6</v>
      </c>
      <c r="I10" s="10" t="s">
        <v>19</v>
      </c>
      <c r="J10" s="11">
        <v>45771</v>
      </c>
      <c r="K10" s="9">
        <v>0.94</v>
      </c>
      <c r="L10" s="12">
        <v>6195</v>
      </c>
      <c r="M10" s="8" t="s">
        <v>20</v>
      </c>
      <c r="N10" s="8" t="s">
        <v>28</v>
      </c>
      <c r="O10" s="8">
        <f>Tabla5[[#This Row],[TURNO]]</f>
        <v>2</v>
      </c>
      <c r="P10" s="8" t="str">
        <f>Tabla5[[#This Row],[MODULO]]</f>
        <v>M1</v>
      </c>
      <c r="Q10" s="8" t="str">
        <f>CONCATENATE(Tabla5[[#This Row],[MODULO]],"/T",Tabla5[[#This Row],[TURNO]])</f>
        <v>M1/T2</v>
      </c>
    </row>
    <row r="11" spans="3:17" x14ac:dyDescent="0.3">
      <c r="C11" s="8" t="str">
        <f t="shared" si="0"/>
        <v>Q7</v>
      </c>
      <c r="D11" s="8" t="s">
        <v>16</v>
      </c>
      <c r="E11" s="8" t="s">
        <v>17</v>
      </c>
      <c r="F11" s="9" t="s">
        <v>18</v>
      </c>
      <c r="G11" s="9">
        <v>2</v>
      </c>
      <c r="H11" s="9">
        <v>7</v>
      </c>
      <c r="I11" s="10" t="s">
        <v>19</v>
      </c>
      <c r="J11" s="11">
        <v>45771</v>
      </c>
      <c r="K11" s="9">
        <v>0.98</v>
      </c>
      <c r="L11" s="12">
        <v>6396</v>
      </c>
      <c r="M11" s="8" t="s">
        <v>20</v>
      </c>
      <c r="N11" s="8" t="s">
        <v>29</v>
      </c>
      <c r="O11" s="8">
        <f>Tabla5[[#This Row],[TURNO]]</f>
        <v>2</v>
      </c>
      <c r="P11" s="8" t="str">
        <f>Tabla5[[#This Row],[MODULO]]</f>
        <v>M1</v>
      </c>
      <c r="Q11" s="8" t="str">
        <f>CONCATENATE(Tabla5[[#This Row],[MODULO]],"/T",Tabla5[[#This Row],[TURNO]])</f>
        <v>M1/T2</v>
      </c>
    </row>
    <row r="12" spans="3:17" x14ac:dyDescent="0.3">
      <c r="C12" s="8" t="str">
        <f t="shared" si="0"/>
        <v>Q8</v>
      </c>
      <c r="D12" s="8" t="s">
        <v>16</v>
      </c>
      <c r="E12" s="8" t="s">
        <v>17</v>
      </c>
      <c r="F12" s="9" t="s">
        <v>18</v>
      </c>
      <c r="G12" s="9">
        <v>2</v>
      </c>
      <c r="H12" s="9">
        <v>8</v>
      </c>
      <c r="I12" s="10" t="s">
        <v>19</v>
      </c>
      <c r="J12" s="11">
        <v>45772</v>
      </c>
      <c r="K12" s="9">
        <v>1.1000000000000001</v>
      </c>
      <c r="L12" s="12">
        <v>7187</v>
      </c>
      <c r="M12" s="8" t="s">
        <v>20</v>
      </c>
      <c r="N12" s="8" t="s">
        <v>30</v>
      </c>
      <c r="O12" s="8">
        <f>Tabla5[[#This Row],[TURNO]]</f>
        <v>2</v>
      </c>
      <c r="P12" s="8" t="str">
        <f>Tabla5[[#This Row],[MODULO]]</f>
        <v>M1</v>
      </c>
      <c r="Q12" s="8" t="str">
        <f>CONCATENATE(Tabla5[[#This Row],[MODULO]],"/T",Tabla5[[#This Row],[TURNO]])</f>
        <v>M1/T2</v>
      </c>
    </row>
    <row r="13" spans="3:17" x14ac:dyDescent="0.3">
      <c r="C13" s="8" t="str">
        <f t="shared" si="0"/>
        <v>Q9</v>
      </c>
      <c r="D13" s="8" t="s">
        <v>16</v>
      </c>
      <c r="E13" s="8" t="s">
        <v>17</v>
      </c>
      <c r="F13" s="9" t="s">
        <v>18</v>
      </c>
      <c r="G13" s="9">
        <v>2</v>
      </c>
      <c r="H13" s="9">
        <v>9</v>
      </c>
      <c r="I13" s="10" t="s">
        <v>19</v>
      </c>
      <c r="J13" s="11">
        <v>45772</v>
      </c>
      <c r="K13" s="9">
        <v>0.89</v>
      </c>
      <c r="L13" s="12">
        <v>5860</v>
      </c>
      <c r="M13" s="8" t="s">
        <v>20</v>
      </c>
      <c r="N13" s="8" t="s">
        <v>31</v>
      </c>
      <c r="O13" s="8">
        <f>Tabla5[[#This Row],[TURNO]]</f>
        <v>2</v>
      </c>
      <c r="P13" s="8" t="str">
        <f>Tabla5[[#This Row],[MODULO]]</f>
        <v>M1</v>
      </c>
      <c r="Q13" s="8" t="str">
        <f>CONCATENATE(Tabla5[[#This Row],[MODULO]],"/T",Tabla5[[#This Row],[TURNO]])</f>
        <v>M1/T2</v>
      </c>
    </row>
    <row r="14" spans="3:17" x14ac:dyDescent="0.3">
      <c r="C14" s="8" t="str">
        <f t="shared" si="0"/>
        <v>Q10</v>
      </c>
      <c r="D14" s="8" t="s">
        <v>16</v>
      </c>
      <c r="E14" s="8" t="s">
        <v>17</v>
      </c>
      <c r="F14" s="9" t="s">
        <v>18</v>
      </c>
      <c r="G14" s="9">
        <v>3</v>
      </c>
      <c r="H14" s="9">
        <v>10</v>
      </c>
      <c r="I14" s="10" t="s">
        <v>19</v>
      </c>
      <c r="J14" s="11">
        <v>45772</v>
      </c>
      <c r="K14" s="9">
        <v>0.85</v>
      </c>
      <c r="L14" s="12">
        <v>5615</v>
      </c>
      <c r="M14" s="8" t="s">
        <v>20</v>
      </c>
      <c r="N14" s="8" t="s">
        <v>32</v>
      </c>
      <c r="O14" s="8">
        <f>Tabla5[[#This Row],[TURNO]]</f>
        <v>3</v>
      </c>
      <c r="P14" s="8" t="str">
        <f>Tabla5[[#This Row],[MODULO]]</f>
        <v>M1</v>
      </c>
      <c r="Q14" s="8" t="str">
        <f>CONCATENATE(Tabla5[[#This Row],[MODULO]],"/T",Tabla5[[#This Row],[TURNO]])</f>
        <v>M1/T3</v>
      </c>
    </row>
    <row r="15" spans="3:17" x14ac:dyDescent="0.3">
      <c r="C15" s="8" t="str">
        <f t="shared" si="0"/>
        <v>Q11</v>
      </c>
      <c r="D15" s="8" t="s">
        <v>16</v>
      </c>
      <c r="E15" s="8" t="s">
        <v>17</v>
      </c>
      <c r="F15" s="9" t="s">
        <v>18</v>
      </c>
      <c r="G15" s="9">
        <v>3</v>
      </c>
      <c r="H15" s="9">
        <v>11</v>
      </c>
      <c r="I15" s="10" t="s">
        <v>19</v>
      </c>
      <c r="J15" s="11">
        <v>45772</v>
      </c>
      <c r="K15" s="9">
        <v>1.1399999999999999</v>
      </c>
      <c r="L15" s="12">
        <v>7505</v>
      </c>
      <c r="M15" s="8" t="s">
        <v>20</v>
      </c>
      <c r="N15" s="8" t="s">
        <v>33</v>
      </c>
      <c r="O15" s="8">
        <f>Tabla5[[#This Row],[TURNO]]</f>
        <v>3</v>
      </c>
      <c r="P15" s="8" t="str">
        <f>Tabla5[[#This Row],[MODULO]]</f>
        <v>M1</v>
      </c>
      <c r="Q15" s="8" t="str">
        <f>CONCATENATE(Tabla5[[#This Row],[MODULO]],"/T",Tabla5[[#This Row],[TURNO]])</f>
        <v>M1/T3</v>
      </c>
    </row>
    <row r="16" spans="3:17" x14ac:dyDescent="0.3">
      <c r="C16" s="8" t="str">
        <f t="shared" si="0"/>
        <v>Q12</v>
      </c>
      <c r="D16" s="8" t="s">
        <v>16</v>
      </c>
      <c r="E16" s="8" t="s">
        <v>17</v>
      </c>
      <c r="F16" s="9" t="s">
        <v>18</v>
      </c>
      <c r="G16" s="9">
        <v>3</v>
      </c>
      <c r="H16" s="9">
        <v>12</v>
      </c>
      <c r="I16" s="10" t="s">
        <v>19</v>
      </c>
      <c r="J16" s="11">
        <v>45771</v>
      </c>
      <c r="K16" s="9">
        <v>1.02</v>
      </c>
      <c r="L16" s="12">
        <v>6637</v>
      </c>
      <c r="M16" s="8" t="s">
        <v>20</v>
      </c>
      <c r="N16" s="8" t="s">
        <v>34</v>
      </c>
      <c r="O16" s="8">
        <f>Tabla5[[#This Row],[TURNO]]</f>
        <v>3</v>
      </c>
      <c r="P16" s="8" t="str">
        <f>Tabla5[[#This Row],[MODULO]]</f>
        <v>M1</v>
      </c>
      <c r="Q16" s="8" t="str">
        <f>CONCATENATE(Tabla5[[#This Row],[MODULO]],"/T",Tabla5[[#This Row],[TURNO]])</f>
        <v>M1/T3</v>
      </c>
    </row>
    <row r="17" spans="3:17" x14ac:dyDescent="0.3">
      <c r="C17" s="8" t="str">
        <f t="shared" si="0"/>
        <v>Q13</v>
      </c>
      <c r="D17" s="8" t="s">
        <v>16</v>
      </c>
      <c r="E17" s="8" t="s">
        <v>17</v>
      </c>
      <c r="F17" s="9" t="s">
        <v>18</v>
      </c>
      <c r="G17" s="9">
        <v>3</v>
      </c>
      <c r="H17" s="9">
        <v>13</v>
      </c>
      <c r="I17" s="10" t="s">
        <v>19</v>
      </c>
      <c r="J17" s="11">
        <v>45771</v>
      </c>
      <c r="K17" s="9">
        <v>1.02</v>
      </c>
      <c r="L17" s="12">
        <v>6683</v>
      </c>
      <c r="M17" s="8" t="s">
        <v>20</v>
      </c>
      <c r="N17" s="8" t="s">
        <v>35</v>
      </c>
      <c r="O17" s="8">
        <f>Tabla5[[#This Row],[TURNO]]</f>
        <v>3</v>
      </c>
      <c r="P17" s="8" t="str">
        <f>Tabla5[[#This Row],[MODULO]]</f>
        <v>M1</v>
      </c>
      <c r="Q17" s="8" t="str">
        <f>CONCATENATE(Tabla5[[#This Row],[MODULO]],"/T",Tabla5[[#This Row],[TURNO]])</f>
        <v>M1/T3</v>
      </c>
    </row>
    <row r="18" spans="3:17" x14ac:dyDescent="0.3">
      <c r="C18" s="8" t="str">
        <f t="shared" si="0"/>
        <v>Q17</v>
      </c>
      <c r="D18" s="8" t="s">
        <v>16</v>
      </c>
      <c r="E18" s="8" t="s">
        <v>17</v>
      </c>
      <c r="F18" s="9" t="s">
        <v>18</v>
      </c>
      <c r="G18" s="9">
        <v>4</v>
      </c>
      <c r="H18" s="9">
        <v>17</v>
      </c>
      <c r="I18" s="10" t="s">
        <v>19</v>
      </c>
      <c r="J18" s="11">
        <v>45763</v>
      </c>
      <c r="K18" s="9">
        <v>1.1000000000000001</v>
      </c>
      <c r="L18" s="12">
        <v>7169</v>
      </c>
      <c r="M18" s="8" t="s">
        <v>20</v>
      </c>
      <c r="N18" s="8" t="s">
        <v>36</v>
      </c>
      <c r="O18" s="8">
        <f>Tabla5[[#This Row],[TURNO]]</f>
        <v>4</v>
      </c>
      <c r="P18" s="8" t="str">
        <f>Tabla5[[#This Row],[MODULO]]</f>
        <v>M1</v>
      </c>
      <c r="Q18" s="8" t="str">
        <f>CONCATENATE(Tabla5[[#This Row],[MODULO]],"/T",Tabla5[[#This Row],[TURNO]])</f>
        <v>M1/T4</v>
      </c>
    </row>
    <row r="19" spans="3:17" x14ac:dyDescent="0.3">
      <c r="C19" s="8" t="str">
        <f t="shared" si="0"/>
        <v>Q18</v>
      </c>
      <c r="D19" s="8" t="s">
        <v>16</v>
      </c>
      <c r="E19" s="8" t="s">
        <v>17</v>
      </c>
      <c r="F19" s="9" t="s">
        <v>18</v>
      </c>
      <c r="G19" s="9">
        <v>4</v>
      </c>
      <c r="H19" s="9">
        <v>18</v>
      </c>
      <c r="I19" s="10" t="s">
        <v>19</v>
      </c>
      <c r="J19" s="11">
        <v>45764</v>
      </c>
      <c r="K19" s="9">
        <v>0.71</v>
      </c>
      <c r="L19" s="12">
        <v>3523</v>
      </c>
      <c r="M19" s="8" t="s">
        <v>20</v>
      </c>
      <c r="N19" s="8" t="s">
        <v>37</v>
      </c>
      <c r="O19" s="8">
        <f>Tabla5[[#This Row],[TURNO]]</f>
        <v>4</v>
      </c>
      <c r="P19" s="8" t="str">
        <f>Tabla5[[#This Row],[MODULO]]</f>
        <v>M1</v>
      </c>
      <c r="Q19" s="8" t="str">
        <f>CONCATENATE(Tabla5[[#This Row],[MODULO]],"/T",Tabla5[[#This Row],[TURNO]])</f>
        <v>M1/T4</v>
      </c>
    </row>
    <row r="20" spans="3:17" x14ac:dyDescent="0.3">
      <c r="C20" s="8" t="str">
        <f t="shared" si="0"/>
        <v>Q19</v>
      </c>
      <c r="D20" s="8" t="s">
        <v>16</v>
      </c>
      <c r="E20" s="8" t="s">
        <v>17</v>
      </c>
      <c r="F20" s="9" t="s">
        <v>18</v>
      </c>
      <c r="G20" s="9">
        <v>4</v>
      </c>
      <c r="H20" s="9">
        <v>19</v>
      </c>
      <c r="I20" s="10" t="s">
        <v>19</v>
      </c>
      <c r="J20" s="11">
        <v>45770</v>
      </c>
      <c r="K20" s="13">
        <v>0.74</v>
      </c>
      <c r="L20" s="12">
        <v>4851</v>
      </c>
      <c r="M20" s="8" t="s">
        <v>20</v>
      </c>
      <c r="N20" s="8" t="s">
        <v>38</v>
      </c>
      <c r="O20" s="8">
        <f>Tabla5[[#This Row],[TURNO]]</f>
        <v>4</v>
      </c>
      <c r="P20" s="8" t="str">
        <f>Tabla5[[#This Row],[MODULO]]</f>
        <v>M1</v>
      </c>
      <c r="Q20" s="8" t="str">
        <f>CONCATENATE(Tabla5[[#This Row],[MODULO]],"/T",Tabla5[[#This Row],[TURNO]])</f>
        <v>M1/T4</v>
      </c>
    </row>
    <row r="21" spans="3:17" x14ac:dyDescent="0.3">
      <c r="C21" s="8" t="str">
        <f t="shared" si="0"/>
        <v>Q20</v>
      </c>
      <c r="D21" s="8" t="s">
        <v>16</v>
      </c>
      <c r="E21" s="8" t="s">
        <v>17</v>
      </c>
      <c r="F21" s="9" t="s">
        <v>18</v>
      </c>
      <c r="G21" s="9">
        <v>5</v>
      </c>
      <c r="H21" s="9">
        <v>20</v>
      </c>
      <c r="I21" s="10" t="s">
        <v>19</v>
      </c>
      <c r="J21" s="11">
        <v>45770</v>
      </c>
      <c r="K21" s="13">
        <v>0.98</v>
      </c>
      <c r="L21" s="12">
        <v>6392</v>
      </c>
      <c r="M21" s="8" t="s">
        <v>20</v>
      </c>
      <c r="N21" s="8" t="s">
        <v>39</v>
      </c>
      <c r="O21" s="8">
        <f>Tabla5[[#This Row],[TURNO]]</f>
        <v>5</v>
      </c>
      <c r="P21" s="8" t="str">
        <f>Tabla5[[#This Row],[MODULO]]</f>
        <v>M1</v>
      </c>
      <c r="Q21" s="8" t="str">
        <f>CONCATENATE(Tabla5[[#This Row],[MODULO]],"/T",Tabla5[[#This Row],[TURNO]])</f>
        <v>M1/T5</v>
      </c>
    </row>
    <row r="22" spans="3:17" x14ac:dyDescent="0.3">
      <c r="C22" s="8" t="str">
        <f t="shared" si="0"/>
        <v>Q21</v>
      </c>
      <c r="D22" s="8" t="s">
        <v>16</v>
      </c>
      <c r="E22" s="8" t="s">
        <v>17</v>
      </c>
      <c r="F22" s="9" t="s">
        <v>18</v>
      </c>
      <c r="G22" s="9">
        <v>5</v>
      </c>
      <c r="H22" s="9">
        <v>21</v>
      </c>
      <c r="I22" s="10" t="s">
        <v>19</v>
      </c>
      <c r="J22" s="11">
        <v>45770</v>
      </c>
      <c r="K22" s="13">
        <v>0.93</v>
      </c>
      <c r="L22" s="12">
        <v>6135</v>
      </c>
      <c r="M22" s="8" t="s">
        <v>20</v>
      </c>
      <c r="N22" s="8" t="s">
        <v>40</v>
      </c>
      <c r="O22" s="8">
        <f>Tabla5[[#This Row],[TURNO]]</f>
        <v>5</v>
      </c>
      <c r="P22" s="8" t="str">
        <f>Tabla5[[#This Row],[MODULO]]</f>
        <v>M1</v>
      </c>
      <c r="Q22" s="8" t="str">
        <f>CONCATENATE(Tabla5[[#This Row],[MODULO]],"/T",Tabla5[[#This Row],[TURNO]])</f>
        <v>M1/T5</v>
      </c>
    </row>
    <row r="23" spans="3:17" x14ac:dyDescent="0.3">
      <c r="C23" s="8" t="str">
        <f t="shared" si="0"/>
        <v>Q22</v>
      </c>
      <c r="D23" s="8" t="s">
        <v>16</v>
      </c>
      <c r="E23" s="8" t="s">
        <v>17</v>
      </c>
      <c r="F23" s="9" t="s">
        <v>18</v>
      </c>
      <c r="G23" s="9">
        <v>5</v>
      </c>
      <c r="H23" s="9">
        <v>22</v>
      </c>
      <c r="I23" s="10" t="s">
        <v>19</v>
      </c>
      <c r="J23" s="11">
        <v>45771</v>
      </c>
      <c r="K23" s="9">
        <v>0.59</v>
      </c>
      <c r="L23" s="12">
        <v>3869</v>
      </c>
      <c r="M23" s="8" t="s">
        <v>20</v>
      </c>
      <c r="N23" s="8" t="s">
        <v>41</v>
      </c>
      <c r="O23" s="8">
        <f>Tabla5[[#This Row],[TURNO]]</f>
        <v>5</v>
      </c>
      <c r="P23" s="8" t="str">
        <f>Tabla5[[#This Row],[MODULO]]</f>
        <v>M1</v>
      </c>
      <c r="Q23" s="8" t="str">
        <f>CONCATENATE(Tabla5[[#This Row],[MODULO]],"/T",Tabla5[[#This Row],[TURNO]])</f>
        <v>M1/T5</v>
      </c>
    </row>
    <row r="24" spans="3:17" x14ac:dyDescent="0.3">
      <c r="C24" s="8" t="str">
        <f t="shared" si="0"/>
        <v>Q23</v>
      </c>
      <c r="D24" s="8" t="s">
        <v>16</v>
      </c>
      <c r="E24" s="8" t="s">
        <v>17</v>
      </c>
      <c r="F24" s="9" t="s">
        <v>18</v>
      </c>
      <c r="G24" s="9">
        <v>5</v>
      </c>
      <c r="H24" s="9">
        <v>23</v>
      </c>
      <c r="I24" s="10" t="s">
        <v>19</v>
      </c>
      <c r="J24" s="11">
        <v>45771</v>
      </c>
      <c r="K24" s="9">
        <v>0.67</v>
      </c>
      <c r="L24" s="12">
        <v>3810</v>
      </c>
      <c r="M24" s="8" t="s">
        <v>20</v>
      </c>
      <c r="N24" s="8" t="s">
        <v>42</v>
      </c>
      <c r="O24" s="8">
        <f>Tabla5[[#This Row],[TURNO]]</f>
        <v>5</v>
      </c>
      <c r="P24" s="8" t="str">
        <f>Tabla5[[#This Row],[MODULO]]</f>
        <v>M1</v>
      </c>
      <c r="Q24" s="8" t="str">
        <f>CONCATENATE(Tabla5[[#This Row],[MODULO]],"/T",Tabla5[[#This Row],[TURNO]])</f>
        <v>M1/T5</v>
      </c>
    </row>
    <row r="25" spans="3:17" x14ac:dyDescent="0.3">
      <c r="C25" s="8" t="str">
        <f t="shared" si="0"/>
        <v>Q24</v>
      </c>
      <c r="D25" s="8" t="s">
        <v>16</v>
      </c>
      <c r="E25" s="8" t="s">
        <v>17</v>
      </c>
      <c r="F25" s="9" t="s">
        <v>18</v>
      </c>
      <c r="G25" s="9">
        <v>6</v>
      </c>
      <c r="H25" s="9">
        <v>24</v>
      </c>
      <c r="I25" s="10" t="s">
        <v>19</v>
      </c>
      <c r="J25" s="11">
        <v>45771</v>
      </c>
      <c r="K25" s="9">
        <v>0.96</v>
      </c>
      <c r="L25" s="12">
        <v>6636</v>
      </c>
      <c r="M25" s="8" t="s">
        <v>20</v>
      </c>
      <c r="N25" s="8" t="s">
        <v>43</v>
      </c>
      <c r="O25" s="8">
        <f>Tabla5[[#This Row],[TURNO]]</f>
        <v>6</v>
      </c>
      <c r="P25" s="8" t="str">
        <f>Tabla5[[#This Row],[MODULO]]</f>
        <v>M1</v>
      </c>
      <c r="Q25" s="8" t="str">
        <f>CONCATENATE(Tabla5[[#This Row],[MODULO]],"/T",Tabla5[[#This Row],[TURNO]])</f>
        <v>M1/T6</v>
      </c>
    </row>
    <row r="26" spans="3:17" x14ac:dyDescent="0.3">
      <c r="C26" s="8" t="str">
        <f t="shared" si="0"/>
        <v>Q25</v>
      </c>
      <c r="D26" s="8" t="s">
        <v>16</v>
      </c>
      <c r="E26" s="8" t="s">
        <v>17</v>
      </c>
      <c r="F26" s="9" t="s">
        <v>18</v>
      </c>
      <c r="G26" s="9">
        <v>6</v>
      </c>
      <c r="H26" s="9">
        <v>25</v>
      </c>
      <c r="I26" s="10" t="s">
        <v>19</v>
      </c>
      <c r="J26" s="11">
        <v>45771</v>
      </c>
      <c r="K26" s="9">
        <v>0.98</v>
      </c>
      <c r="L26" s="12">
        <v>6387</v>
      </c>
      <c r="M26" s="8" t="s">
        <v>20</v>
      </c>
      <c r="N26" s="8" t="s">
        <v>44</v>
      </c>
      <c r="O26" s="8">
        <f>Tabla5[[#This Row],[TURNO]]</f>
        <v>6</v>
      </c>
      <c r="P26" s="8" t="str">
        <f>Tabla5[[#This Row],[MODULO]]</f>
        <v>M1</v>
      </c>
      <c r="Q26" s="8" t="str">
        <f>CONCATENATE(Tabla5[[#This Row],[MODULO]],"/T",Tabla5[[#This Row],[TURNO]])</f>
        <v>M1/T6</v>
      </c>
    </row>
    <row r="27" spans="3:17" x14ac:dyDescent="0.3">
      <c r="C27" s="8" t="str">
        <f t="shared" si="0"/>
        <v>Q26</v>
      </c>
      <c r="D27" s="8" t="s">
        <v>16</v>
      </c>
      <c r="E27" s="8" t="s">
        <v>17</v>
      </c>
      <c r="F27" s="9" t="s">
        <v>18</v>
      </c>
      <c r="G27" s="9">
        <v>6</v>
      </c>
      <c r="H27" s="9">
        <v>26</v>
      </c>
      <c r="I27" s="10" t="s">
        <v>19</v>
      </c>
      <c r="J27" s="11">
        <v>45770</v>
      </c>
      <c r="K27" s="9">
        <v>0.98</v>
      </c>
      <c r="L27" s="12">
        <v>6394</v>
      </c>
      <c r="M27" s="8" t="s">
        <v>20</v>
      </c>
      <c r="N27" s="8" t="s">
        <v>45</v>
      </c>
      <c r="O27" s="8">
        <f>Tabla5[[#This Row],[TURNO]]</f>
        <v>6</v>
      </c>
      <c r="P27" s="8" t="str">
        <f>Tabla5[[#This Row],[MODULO]]</f>
        <v>M1</v>
      </c>
      <c r="Q27" s="8" t="str">
        <f>CONCATENATE(Tabla5[[#This Row],[MODULO]],"/T",Tabla5[[#This Row],[TURNO]])</f>
        <v>M1/T6</v>
      </c>
    </row>
    <row r="28" spans="3:17" x14ac:dyDescent="0.3">
      <c r="C28" s="8" t="str">
        <f t="shared" si="0"/>
        <v>Q27</v>
      </c>
      <c r="D28" s="8" t="s">
        <v>16</v>
      </c>
      <c r="E28" s="8" t="s">
        <v>17</v>
      </c>
      <c r="F28" s="9" t="s">
        <v>18</v>
      </c>
      <c r="G28" s="9">
        <v>6</v>
      </c>
      <c r="H28" s="9">
        <v>27</v>
      </c>
      <c r="I28" s="10" t="s">
        <v>19</v>
      </c>
      <c r="J28" s="11">
        <v>45770</v>
      </c>
      <c r="K28" s="13">
        <v>0.98</v>
      </c>
      <c r="L28" s="12">
        <v>6390</v>
      </c>
      <c r="M28" s="8" t="s">
        <v>20</v>
      </c>
      <c r="N28" s="8" t="s">
        <v>46</v>
      </c>
      <c r="O28" s="8">
        <f>Tabla5[[#This Row],[TURNO]]</f>
        <v>6</v>
      </c>
      <c r="P28" s="8" t="str">
        <f>Tabla5[[#This Row],[MODULO]]</f>
        <v>M1</v>
      </c>
      <c r="Q28" s="8" t="str">
        <f>CONCATENATE(Tabla5[[#This Row],[MODULO]],"/T",Tabla5[[#This Row],[TURNO]])</f>
        <v>M1/T6</v>
      </c>
    </row>
    <row r="29" spans="3:17" x14ac:dyDescent="0.3">
      <c r="C29" s="8" t="str">
        <f t="shared" si="0"/>
        <v>Q28</v>
      </c>
      <c r="D29" s="8" t="s">
        <v>16</v>
      </c>
      <c r="E29" s="8" t="s">
        <v>17</v>
      </c>
      <c r="F29" s="9" t="s">
        <v>18</v>
      </c>
      <c r="G29" s="9">
        <v>6</v>
      </c>
      <c r="H29" s="9">
        <v>28</v>
      </c>
      <c r="I29" s="10" t="s">
        <v>19</v>
      </c>
      <c r="J29" s="11">
        <v>45764</v>
      </c>
      <c r="K29" s="9">
        <v>0.98</v>
      </c>
      <c r="L29" s="12">
        <v>3869</v>
      </c>
      <c r="M29" s="8" t="s">
        <v>20</v>
      </c>
      <c r="N29" s="8" t="s">
        <v>47</v>
      </c>
      <c r="O29" s="8">
        <f>Tabla5[[#This Row],[TURNO]]</f>
        <v>6</v>
      </c>
      <c r="P29" s="8" t="str">
        <f>Tabla5[[#This Row],[MODULO]]</f>
        <v>M1</v>
      </c>
      <c r="Q29" s="8" t="str">
        <f>CONCATENATE(Tabla5[[#This Row],[MODULO]],"/T",Tabla5[[#This Row],[TURNO]])</f>
        <v>M1/T6</v>
      </c>
    </row>
    <row r="30" spans="3:17" x14ac:dyDescent="0.3">
      <c r="C30" s="8" t="str">
        <f t="shared" si="0"/>
        <v>Q29</v>
      </c>
      <c r="D30" s="8" t="s">
        <v>16</v>
      </c>
      <c r="E30" s="8" t="s">
        <v>17</v>
      </c>
      <c r="F30" s="9" t="s">
        <v>18</v>
      </c>
      <c r="G30" s="9">
        <v>7</v>
      </c>
      <c r="H30" s="9">
        <v>29</v>
      </c>
      <c r="I30" s="10" t="s">
        <v>19</v>
      </c>
      <c r="J30" s="11">
        <v>45771</v>
      </c>
      <c r="K30" s="9">
        <v>0.36</v>
      </c>
      <c r="L30" s="12">
        <v>2357</v>
      </c>
      <c r="M30" s="8" t="s">
        <v>20</v>
      </c>
      <c r="N30" s="8" t="s">
        <v>48</v>
      </c>
      <c r="O30" s="8">
        <f>Tabla5[[#This Row],[TURNO]]</f>
        <v>7</v>
      </c>
      <c r="P30" s="8" t="str">
        <f>Tabla5[[#This Row],[MODULO]]</f>
        <v>M1</v>
      </c>
      <c r="Q30" s="8" t="str">
        <f>CONCATENATE(Tabla5[[#This Row],[MODULO]],"/T",Tabla5[[#This Row],[TURNO]])</f>
        <v>M1/T7</v>
      </c>
    </row>
    <row r="31" spans="3:17" x14ac:dyDescent="0.3">
      <c r="C31" s="8" t="str">
        <f t="shared" si="0"/>
        <v>Q30</v>
      </c>
      <c r="D31" s="8" t="s">
        <v>16</v>
      </c>
      <c r="E31" s="8" t="s">
        <v>17</v>
      </c>
      <c r="F31" s="9" t="s">
        <v>18</v>
      </c>
      <c r="G31" s="9">
        <v>7</v>
      </c>
      <c r="H31" s="9">
        <v>30</v>
      </c>
      <c r="I31" s="10" t="s">
        <v>19</v>
      </c>
      <c r="J31" s="11">
        <v>45771</v>
      </c>
      <c r="K31" s="9">
        <v>0.95</v>
      </c>
      <c r="L31" s="12">
        <v>6147</v>
      </c>
      <c r="M31" s="8" t="s">
        <v>20</v>
      </c>
      <c r="N31" s="8" t="s">
        <v>49</v>
      </c>
      <c r="O31" s="8">
        <f>Tabla5[[#This Row],[TURNO]]</f>
        <v>7</v>
      </c>
      <c r="P31" s="8" t="str">
        <f>Tabla5[[#This Row],[MODULO]]</f>
        <v>M1</v>
      </c>
      <c r="Q31" s="8" t="str">
        <f>CONCATENATE(Tabla5[[#This Row],[MODULO]],"/T",Tabla5[[#This Row],[TURNO]])</f>
        <v>M1/T7</v>
      </c>
    </row>
    <row r="32" spans="3:17" x14ac:dyDescent="0.3">
      <c r="C32" s="8" t="str">
        <f t="shared" si="0"/>
        <v>Q31</v>
      </c>
      <c r="D32" s="8" t="s">
        <v>16</v>
      </c>
      <c r="E32" s="8" t="s">
        <v>17</v>
      </c>
      <c r="F32" s="9" t="s">
        <v>18</v>
      </c>
      <c r="G32" s="9">
        <v>7</v>
      </c>
      <c r="H32" s="9">
        <v>31</v>
      </c>
      <c r="I32" s="10" t="s">
        <v>19</v>
      </c>
      <c r="J32" s="11">
        <v>45770</v>
      </c>
      <c r="K32" s="9">
        <v>0.98</v>
      </c>
      <c r="L32" s="12">
        <v>6395</v>
      </c>
      <c r="M32" s="8" t="s">
        <v>20</v>
      </c>
      <c r="N32" s="8" t="s">
        <v>50</v>
      </c>
      <c r="O32" s="8">
        <f>Tabla5[[#This Row],[TURNO]]</f>
        <v>7</v>
      </c>
      <c r="P32" s="8" t="str">
        <f>Tabla5[[#This Row],[MODULO]]</f>
        <v>M1</v>
      </c>
      <c r="Q32" s="8" t="str">
        <f>CONCATENATE(Tabla5[[#This Row],[MODULO]],"/T",Tabla5[[#This Row],[TURNO]])</f>
        <v>M1/T7</v>
      </c>
    </row>
    <row r="33" spans="3:18" x14ac:dyDescent="0.3">
      <c r="C33" s="8" t="str">
        <f t="shared" si="0"/>
        <v>Q32</v>
      </c>
      <c r="D33" s="8" t="s">
        <v>16</v>
      </c>
      <c r="E33" s="8" t="s">
        <v>17</v>
      </c>
      <c r="F33" s="9" t="s">
        <v>18</v>
      </c>
      <c r="G33" s="9">
        <v>7</v>
      </c>
      <c r="H33" s="9">
        <v>32</v>
      </c>
      <c r="I33" s="10" t="s">
        <v>19</v>
      </c>
      <c r="J33" s="11">
        <v>45764</v>
      </c>
      <c r="K33" s="9">
        <v>0.98</v>
      </c>
      <c r="L33" s="12">
        <v>6395</v>
      </c>
      <c r="M33" s="8" t="s">
        <v>20</v>
      </c>
      <c r="N33" s="8" t="s">
        <v>51</v>
      </c>
      <c r="O33" s="8">
        <f>Tabla5[[#This Row],[TURNO]]</f>
        <v>7</v>
      </c>
      <c r="P33" s="8" t="str">
        <f>Tabla5[[#This Row],[MODULO]]</f>
        <v>M1</v>
      </c>
      <c r="Q33" s="8" t="str">
        <f>CONCATENATE(Tabla5[[#This Row],[MODULO]],"/T",Tabla5[[#This Row],[TURNO]])</f>
        <v>M1/T7</v>
      </c>
    </row>
    <row r="34" spans="3:18" x14ac:dyDescent="0.3">
      <c r="C34" s="8" t="str">
        <f t="shared" si="0"/>
        <v>Q33</v>
      </c>
      <c r="D34" s="8" t="s">
        <v>16</v>
      </c>
      <c r="E34" s="8" t="s">
        <v>17</v>
      </c>
      <c r="F34" s="9" t="s">
        <v>18</v>
      </c>
      <c r="G34" s="9">
        <v>7</v>
      </c>
      <c r="H34" s="9">
        <v>33</v>
      </c>
      <c r="I34" s="10" t="s">
        <v>19</v>
      </c>
      <c r="J34" s="11">
        <v>45764</v>
      </c>
      <c r="K34" s="9">
        <v>0.98</v>
      </c>
      <c r="L34" s="12">
        <v>6391</v>
      </c>
      <c r="M34" s="8" t="s">
        <v>20</v>
      </c>
      <c r="N34" s="8" t="s">
        <v>52</v>
      </c>
      <c r="O34" s="8">
        <f>Tabla5[[#This Row],[TURNO]]</f>
        <v>7</v>
      </c>
      <c r="P34" s="8" t="str">
        <f>Tabla5[[#This Row],[MODULO]]</f>
        <v>M1</v>
      </c>
      <c r="Q34" s="8" t="str">
        <f>CONCATENATE(Tabla5[[#This Row],[MODULO]],"/T",Tabla5[[#This Row],[TURNO]])</f>
        <v>M1/T7</v>
      </c>
      <c r="R34" s="8"/>
    </row>
    <row r="35" spans="3:18" x14ac:dyDescent="0.3">
      <c r="C35" s="8" t="str">
        <f t="shared" si="0"/>
        <v>Q34</v>
      </c>
      <c r="D35" s="8" t="s">
        <v>16</v>
      </c>
      <c r="E35" s="8" t="s">
        <v>17</v>
      </c>
      <c r="F35" s="9" t="s">
        <v>18</v>
      </c>
      <c r="G35" s="9">
        <v>8</v>
      </c>
      <c r="H35" s="9">
        <v>34</v>
      </c>
      <c r="I35" s="10" t="s">
        <v>19</v>
      </c>
      <c r="J35" s="11">
        <v>45763</v>
      </c>
      <c r="K35" s="9">
        <v>0.98</v>
      </c>
      <c r="L35" s="12">
        <v>6393</v>
      </c>
      <c r="M35" s="8" t="s">
        <v>20</v>
      </c>
      <c r="N35" s="8" t="s">
        <v>53</v>
      </c>
      <c r="O35" s="8">
        <f>Tabla5[[#This Row],[TURNO]]</f>
        <v>8</v>
      </c>
      <c r="P35" s="8" t="str">
        <f>Tabla5[[#This Row],[MODULO]]</f>
        <v>M1</v>
      </c>
      <c r="Q35" s="8" t="str">
        <f>CONCATENATE(Tabla5[[#This Row],[MODULO]],"/T",Tabla5[[#This Row],[TURNO]])</f>
        <v>M1/T8</v>
      </c>
      <c r="R35" s="8"/>
    </row>
    <row r="36" spans="3:18" x14ac:dyDescent="0.3">
      <c r="C36" s="8" t="str">
        <f t="shared" si="0"/>
        <v>Q35</v>
      </c>
      <c r="D36" s="8" t="s">
        <v>16</v>
      </c>
      <c r="E36" s="8" t="s">
        <v>17</v>
      </c>
      <c r="F36" s="9" t="s">
        <v>18</v>
      </c>
      <c r="G36" s="9">
        <v>8</v>
      </c>
      <c r="H36" s="9">
        <v>35</v>
      </c>
      <c r="I36" s="10" t="s">
        <v>19</v>
      </c>
      <c r="J36" s="11">
        <v>45763</v>
      </c>
      <c r="K36" s="9">
        <v>0.98</v>
      </c>
      <c r="L36" s="12">
        <v>6394</v>
      </c>
      <c r="M36" s="8" t="s">
        <v>20</v>
      </c>
      <c r="N36" s="8" t="s">
        <v>54</v>
      </c>
      <c r="O36" s="8">
        <f>Tabla5[[#This Row],[TURNO]]</f>
        <v>8</v>
      </c>
      <c r="P36" s="8" t="str">
        <f>Tabla5[[#This Row],[MODULO]]</f>
        <v>M1</v>
      </c>
      <c r="Q36" s="8" t="str">
        <f>CONCATENATE(Tabla5[[#This Row],[MODULO]],"/T",Tabla5[[#This Row],[TURNO]])</f>
        <v>M1/T8</v>
      </c>
      <c r="R36" s="8"/>
    </row>
    <row r="37" spans="3:18" x14ac:dyDescent="0.3">
      <c r="C37" s="8" t="str">
        <f t="shared" si="0"/>
        <v>Q36</v>
      </c>
      <c r="D37" s="8" t="s">
        <v>16</v>
      </c>
      <c r="E37" s="8" t="s">
        <v>17</v>
      </c>
      <c r="F37" s="9" t="s">
        <v>18</v>
      </c>
      <c r="G37" s="9">
        <v>8</v>
      </c>
      <c r="H37" s="9">
        <v>36</v>
      </c>
      <c r="I37" s="10" t="s">
        <v>19</v>
      </c>
      <c r="J37" s="11">
        <v>45763</v>
      </c>
      <c r="K37" s="9">
        <v>0.98</v>
      </c>
      <c r="L37" s="12">
        <v>6392</v>
      </c>
      <c r="M37" s="8" t="s">
        <v>20</v>
      </c>
      <c r="N37" s="8" t="s">
        <v>55</v>
      </c>
      <c r="O37" s="8">
        <f>Tabla5[[#This Row],[TURNO]]</f>
        <v>8</v>
      </c>
      <c r="P37" s="8" t="str">
        <f>Tabla5[[#This Row],[MODULO]]</f>
        <v>M1</v>
      </c>
      <c r="Q37" s="8" t="str">
        <f>CONCATENATE(Tabla5[[#This Row],[MODULO]],"/T",Tabla5[[#This Row],[TURNO]])</f>
        <v>M1/T8</v>
      </c>
      <c r="R37" s="8"/>
    </row>
    <row r="38" spans="3:18" x14ac:dyDescent="0.3">
      <c r="C38" s="8" t="str">
        <f t="shared" si="0"/>
        <v>Q37</v>
      </c>
      <c r="D38" s="8" t="s">
        <v>16</v>
      </c>
      <c r="E38" s="8" t="s">
        <v>17</v>
      </c>
      <c r="F38" s="9" t="s">
        <v>18</v>
      </c>
      <c r="G38" s="9">
        <v>8</v>
      </c>
      <c r="H38" s="9">
        <v>37</v>
      </c>
      <c r="I38" s="10" t="s">
        <v>19</v>
      </c>
      <c r="J38" s="11">
        <v>45763</v>
      </c>
      <c r="K38" s="9">
        <v>0.92</v>
      </c>
      <c r="L38" s="12">
        <v>6393</v>
      </c>
      <c r="M38" s="8" t="s">
        <v>20</v>
      </c>
      <c r="N38" s="8" t="s">
        <v>56</v>
      </c>
      <c r="O38" s="8">
        <f>Tabla5[[#This Row],[TURNO]]</f>
        <v>8</v>
      </c>
      <c r="P38" s="8" t="str">
        <f>Tabla5[[#This Row],[MODULO]]</f>
        <v>M1</v>
      </c>
      <c r="Q38" s="8" t="str">
        <f>CONCATENATE(Tabla5[[#This Row],[MODULO]],"/T",Tabla5[[#This Row],[TURNO]])</f>
        <v>M1/T8</v>
      </c>
      <c r="R38" s="8"/>
    </row>
    <row r="39" spans="3:18" x14ac:dyDescent="0.3">
      <c r="C39" s="8" t="str">
        <f t="shared" si="0"/>
        <v>Q38</v>
      </c>
      <c r="D39" s="8" t="s">
        <v>16</v>
      </c>
      <c r="E39" s="8" t="s">
        <v>17</v>
      </c>
      <c r="F39" s="9" t="s">
        <v>18</v>
      </c>
      <c r="G39" s="9">
        <v>8</v>
      </c>
      <c r="H39" s="9">
        <v>38</v>
      </c>
      <c r="I39" s="10" t="s">
        <v>19</v>
      </c>
      <c r="J39" s="11">
        <v>45764</v>
      </c>
      <c r="K39" s="9">
        <v>0.98</v>
      </c>
      <c r="L39" s="12">
        <v>6394</v>
      </c>
      <c r="M39" s="8" t="s">
        <v>20</v>
      </c>
      <c r="N39" s="8" t="s">
        <v>57</v>
      </c>
      <c r="O39" s="8">
        <f>Tabla5[[#This Row],[TURNO]]</f>
        <v>8</v>
      </c>
      <c r="P39" s="8" t="str">
        <f>Tabla5[[#This Row],[MODULO]]</f>
        <v>M1</v>
      </c>
      <c r="Q39" s="8" t="str">
        <f>CONCATENATE(Tabla5[[#This Row],[MODULO]],"/T",Tabla5[[#This Row],[TURNO]])</f>
        <v>M1/T8</v>
      </c>
      <c r="R39" s="8"/>
    </row>
    <row r="40" spans="3:18" x14ac:dyDescent="0.3">
      <c r="C40" s="8" t="str">
        <f t="shared" si="0"/>
        <v>Q39</v>
      </c>
      <c r="D40" s="8" t="s">
        <v>16</v>
      </c>
      <c r="E40" s="8" t="s">
        <v>17</v>
      </c>
      <c r="F40" s="9" t="s">
        <v>18</v>
      </c>
      <c r="G40" s="9">
        <v>9</v>
      </c>
      <c r="H40" s="9">
        <v>39</v>
      </c>
      <c r="I40" s="10" t="s">
        <v>19</v>
      </c>
      <c r="J40" s="11">
        <v>45764</v>
      </c>
      <c r="K40" s="9">
        <v>0.98</v>
      </c>
      <c r="L40" s="12">
        <v>6394</v>
      </c>
      <c r="M40" s="8" t="s">
        <v>20</v>
      </c>
      <c r="N40" s="8" t="s">
        <v>58</v>
      </c>
      <c r="O40" s="8">
        <f>Tabla5[[#This Row],[TURNO]]</f>
        <v>9</v>
      </c>
      <c r="P40" s="8" t="str">
        <f>Tabla5[[#This Row],[MODULO]]</f>
        <v>M1</v>
      </c>
      <c r="Q40" s="8" t="str">
        <f>CONCATENATE(Tabla5[[#This Row],[MODULO]],"/T",Tabla5[[#This Row],[TURNO]])</f>
        <v>M1/T9</v>
      </c>
      <c r="R40" s="8"/>
    </row>
    <row r="41" spans="3:18" x14ac:dyDescent="0.3">
      <c r="C41" s="8" t="str">
        <f t="shared" si="0"/>
        <v>Q40</v>
      </c>
      <c r="D41" s="8" t="s">
        <v>16</v>
      </c>
      <c r="E41" s="8" t="s">
        <v>17</v>
      </c>
      <c r="F41" s="9" t="s">
        <v>18</v>
      </c>
      <c r="G41" s="9">
        <v>9</v>
      </c>
      <c r="H41" s="9">
        <v>40</v>
      </c>
      <c r="I41" s="10" t="s">
        <v>19</v>
      </c>
      <c r="J41" s="11">
        <v>45763</v>
      </c>
      <c r="K41" s="9">
        <v>0.98</v>
      </c>
      <c r="L41" s="12">
        <v>6391</v>
      </c>
      <c r="M41" s="8" t="s">
        <v>20</v>
      </c>
      <c r="N41" s="8" t="s">
        <v>59</v>
      </c>
      <c r="O41" s="8">
        <f>Tabla5[[#This Row],[TURNO]]</f>
        <v>9</v>
      </c>
      <c r="P41" s="8" t="str">
        <f>Tabla5[[#This Row],[MODULO]]</f>
        <v>M1</v>
      </c>
      <c r="Q41" s="8" t="str">
        <f>CONCATENATE(Tabla5[[#This Row],[MODULO]],"/T",Tabla5[[#This Row],[TURNO]])</f>
        <v>M1/T9</v>
      </c>
      <c r="R41" s="8"/>
    </row>
    <row r="42" spans="3:18" x14ac:dyDescent="0.3">
      <c r="C42" s="8" t="str">
        <f t="shared" si="0"/>
        <v>Q41</v>
      </c>
      <c r="D42" s="8" t="s">
        <v>16</v>
      </c>
      <c r="E42" s="8" t="s">
        <v>17</v>
      </c>
      <c r="F42" s="9" t="s">
        <v>18</v>
      </c>
      <c r="G42" s="9">
        <v>9</v>
      </c>
      <c r="H42" s="9">
        <v>41</v>
      </c>
      <c r="I42" s="10" t="s">
        <v>19</v>
      </c>
      <c r="J42" s="11">
        <v>45763</v>
      </c>
      <c r="K42" s="9">
        <v>0.98</v>
      </c>
      <c r="L42" s="12">
        <v>6395</v>
      </c>
      <c r="M42" s="8" t="s">
        <v>20</v>
      </c>
      <c r="N42" s="8" t="s">
        <v>60</v>
      </c>
      <c r="O42" s="8">
        <f>Tabla5[[#This Row],[TURNO]]</f>
        <v>9</v>
      </c>
      <c r="P42" s="8" t="str">
        <f>Tabla5[[#This Row],[MODULO]]</f>
        <v>M1</v>
      </c>
      <c r="Q42" s="8" t="str">
        <f>CONCATENATE(Tabla5[[#This Row],[MODULO]],"/T",Tabla5[[#This Row],[TURNO]])</f>
        <v>M1/T9</v>
      </c>
      <c r="R42" s="8"/>
    </row>
    <row r="43" spans="3:18" x14ac:dyDescent="0.3">
      <c r="C43" s="8" t="str">
        <f t="shared" si="0"/>
        <v>Q42</v>
      </c>
      <c r="D43" s="8" t="s">
        <v>16</v>
      </c>
      <c r="E43" s="8" t="s">
        <v>17</v>
      </c>
      <c r="F43" s="9" t="s">
        <v>18</v>
      </c>
      <c r="G43" s="9">
        <v>9</v>
      </c>
      <c r="H43" s="9">
        <v>42</v>
      </c>
      <c r="I43" s="10" t="s">
        <v>19</v>
      </c>
      <c r="J43" s="11">
        <v>45763</v>
      </c>
      <c r="K43" s="9">
        <v>0.97</v>
      </c>
      <c r="L43" s="12">
        <v>6394</v>
      </c>
      <c r="M43" s="8" t="s">
        <v>20</v>
      </c>
      <c r="N43" s="8" t="s">
        <v>61</v>
      </c>
      <c r="O43" s="8">
        <f>Tabla5[[#This Row],[TURNO]]</f>
        <v>9</v>
      </c>
      <c r="P43" s="8" t="str">
        <f>Tabla5[[#This Row],[MODULO]]</f>
        <v>M1</v>
      </c>
      <c r="Q43" s="8" t="str">
        <f>CONCATENATE(Tabla5[[#This Row],[MODULO]],"/T",Tabla5[[#This Row],[TURNO]])</f>
        <v>M1/T9</v>
      </c>
      <c r="R43" s="8"/>
    </row>
    <row r="44" spans="3:18" s="21" customFormat="1" x14ac:dyDescent="0.3">
      <c r="C44" s="14" t="str">
        <f t="shared" si="0"/>
        <v>Q47</v>
      </c>
      <c r="D44" s="14" t="s">
        <v>16</v>
      </c>
      <c r="E44" s="14" t="s">
        <v>17</v>
      </c>
      <c r="F44" s="15" t="s">
        <v>62</v>
      </c>
      <c r="G44" s="16">
        <v>1</v>
      </c>
      <c r="H44" s="16">
        <v>47</v>
      </c>
      <c r="I44" s="17" t="s">
        <v>19</v>
      </c>
      <c r="J44" s="18">
        <v>45698</v>
      </c>
      <c r="K44" s="19">
        <v>0.34</v>
      </c>
      <c r="L44" s="20">
        <v>1663</v>
      </c>
      <c r="M44" s="14" t="s">
        <v>20</v>
      </c>
      <c r="N44" s="8" t="s">
        <v>63</v>
      </c>
      <c r="O44" s="8">
        <f>Tabla5[[#This Row],[TURNO]]</f>
        <v>1</v>
      </c>
      <c r="P44" s="8" t="str">
        <f>Tabla5[[#This Row],[MODULO]]</f>
        <v>M2</v>
      </c>
      <c r="Q44" s="8" t="str">
        <f>CONCATENATE(Tabla5[[#This Row],[MODULO]],"/T",Tabla5[[#This Row],[TURNO]])</f>
        <v>M2/T1</v>
      </c>
      <c r="R44" s="14"/>
    </row>
    <row r="45" spans="3:18" s="21" customFormat="1" x14ac:dyDescent="0.3">
      <c r="C45" s="14" t="str">
        <f t="shared" si="0"/>
        <v>Q48</v>
      </c>
      <c r="D45" s="14" t="s">
        <v>16</v>
      </c>
      <c r="E45" s="14" t="s">
        <v>17</v>
      </c>
      <c r="F45" s="15" t="s">
        <v>62</v>
      </c>
      <c r="G45" s="16">
        <v>1</v>
      </c>
      <c r="H45" s="16">
        <v>48</v>
      </c>
      <c r="I45" s="17" t="s">
        <v>19</v>
      </c>
      <c r="J45" s="18">
        <v>45698</v>
      </c>
      <c r="K45" s="19">
        <v>0.69</v>
      </c>
      <c r="L45" s="20">
        <v>4459</v>
      </c>
      <c r="M45" s="14" t="s">
        <v>20</v>
      </c>
      <c r="N45" s="8" t="s">
        <v>64</v>
      </c>
      <c r="O45" s="8">
        <f>Tabla5[[#This Row],[TURNO]]</f>
        <v>1</v>
      </c>
      <c r="P45" s="8" t="str">
        <f>Tabla5[[#This Row],[MODULO]]</f>
        <v>M2</v>
      </c>
      <c r="Q45" s="8" t="str">
        <f>CONCATENATE(Tabla5[[#This Row],[MODULO]],"/T",Tabla5[[#This Row],[TURNO]])</f>
        <v>M2/T1</v>
      </c>
      <c r="R45" s="14"/>
    </row>
    <row r="46" spans="3:18" s="21" customFormat="1" x14ac:dyDescent="0.3">
      <c r="C46" s="14" t="str">
        <f t="shared" si="0"/>
        <v>Q49</v>
      </c>
      <c r="D46" s="14" t="s">
        <v>16</v>
      </c>
      <c r="E46" s="14" t="s">
        <v>17</v>
      </c>
      <c r="F46" s="15" t="s">
        <v>62</v>
      </c>
      <c r="G46" s="16">
        <v>1</v>
      </c>
      <c r="H46" s="16">
        <v>49</v>
      </c>
      <c r="I46" s="17" t="s">
        <v>19</v>
      </c>
      <c r="J46" s="18">
        <v>45698</v>
      </c>
      <c r="K46" s="19">
        <v>0.98</v>
      </c>
      <c r="L46" s="20">
        <v>6440</v>
      </c>
      <c r="M46" s="14" t="s">
        <v>20</v>
      </c>
      <c r="N46" s="8" t="s">
        <v>65</v>
      </c>
      <c r="O46" s="8">
        <f>Tabla5[[#This Row],[TURNO]]</f>
        <v>1</v>
      </c>
      <c r="P46" s="8" t="str">
        <f>Tabla5[[#This Row],[MODULO]]</f>
        <v>M2</v>
      </c>
      <c r="Q46" s="8" t="str">
        <f>CONCATENATE(Tabla5[[#This Row],[MODULO]],"/T",Tabla5[[#This Row],[TURNO]])</f>
        <v>M2/T1</v>
      </c>
      <c r="R46" s="14"/>
    </row>
    <row r="47" spans="3:18" s="21" customFormat="1" x14ac:dyDescent="0.3">
      <c r="C47" s="14" t="str">
        <f t="shared" si="0"/>
        <v>Q50</v>
      </c>
      <c r="D47" s="14" t="s">
        <v>16</v>
      </c>
      <c r="E47" s="14" t="s">
        <v>17</v>
      </c>
      <c r="F47" s="15" t="s">
        <v>62</v>
      </c>
      <c r="G47" s="16">
        <v>1</v>
      </c>
      <c r="H47" s="16">
        <v>50</v>
      </c>
      <c r="I47" s="17" t="s">
        <v>19</v>
      </c>
      <c r="J47" s="18">
        <v>45698</v>
      </c>
      <c r="K47" s="19">
        <v>0.98</v>
      </c>
      <c r="L47" s="20">
        <v>6396</v>
      </c>
      <c r="M47" s="14" t="s">
        <v>20</v>
      </c>
      <c r="N47" s="8" t="s">
        <v>66</v>
      </c>
      <c r="O47" s="8">
        <f>Tabla5[[#This Row],[TURNO]]</f>
        <v>1</v>
      </c>
      <c r="P47" s="8" t="str">
        <f>Tabla5[[#This Row],[MODULO]]</f>
        <v>M2</v>
      </c>
      <c r="Q47" s="8" t="str">
        <f>CONCATENATE(Tabla5[[#This Row],[MODULO]],"/T",Tabla5[[#This Row],[TURNO]])</f>
        <v>M2/T1</v>
      </c>
      <c r="R47" s="14"/>
    </row>
    <row r="48" spans="3:18" s="21" customFormat="1" x14ac:dyDescent="0.3">
      <c r="C48" s="14" t="str">
        <f t="shared" si="0"/>
        <v>Q51</v>
      </c>
      <c r="D48" s="14" t="s">
        <v>16</v>
      </c>
      <c r="E48" s="14" t="s">
        <v>17</v>
      </c>
      <c r="F48" s="15" t="s">
        <v>62</v>
      </c>
      <c r="G48" s="16">
        <v>1</v>
      </c>
      <c r="H48" s="16">
        <v>51</v>
      </c>
      <c r="I48" s="17" t="s">
        <v>19</v>
      </c>
      <c r="J48" s="18">
        <v>45699</v>
      </c>
      <c r="K48" s="19">
        <v>0.98</v>
      </c>
      <c r="L48" s="20">
        <v>6396</v>
      </c>
      <c r="M48" s="14" t="s">
        <v>20</v>
      </c>
      <c r="N48" s="8" t="s">
        <v>67</v>
      </c>
      <c r="O48" s="8">
        <f>Tabla5[[#This Row],[TURNO]]</f>
        <v>1</v>
      </c>
      <c r="P48" s="8" t="str">
        <f>Tabla5[[#This Row],[MODULO]]</f>
        <v>M2</v>
      </c>
      <c r="Q48" s="8" t="str">
        <f>CONCATENATE(Tabla5[[#This Row],[MODULO]],"/T",Tabla5[[#This Row],[TURNO]])</f>
        <v>M2/T1</v>
      </c>
    </row>
    <row r="49" spans="3:17" s="21" customFormat="1" x14ac:dyDescent="0.3">
      <c r="C49" s="14" t="str">
        <f t="shared" si="0"/>
        <v>Q52</v>
      </c>
      <c r="D49" s="14" t="s">
        <v>16</v>
      </c>
      <c r="E49" s="14" t="s">
        <v>17</v>
      </c>
      <c r="F49" s="15" t="s">
        <v>62</v>
      </c>
      <c r="G49" s="16">
        <v>1</v>
      </c>
      <c r="H49" s="16">
        <v>52</v>
      </c>
      <c r="I49" s="17" t="s">
        <v>19</v>
      </c>
      <c r="J49" s="18">
        <v>45699</v>
      </c>
      <c r="K49" s="19">
        <v>0.98</v>
      </c>
      <c r="L49" s="20">
        <v>6391</v>
      </c>
      <c r="M49" s="14" t="s">
        <v>20</v>
      </c>
      <c r="N49" s="8" t="s">
        <v>68</v>
      </c>
      <c r="O49" s="8">
        <f>Tabla5[[#This Row],[TURNO]]</f>
        <v>1</v>
      </c>
      <c r="P49" s="8" t="str">
        <f>Tabla5[[#This Row],[MODULO]]</f>
        <v>M2</v>
      </c>
      <c r="Q49" s="8" t="str">
        <f>CONCATENATE(Tabla5[[#This Row],[MODULO]],"/T",Tabla5[[#This Row],[TURNO]])</f>
        <v>M2/T1</v>
      </c>
    </row>
    <row r="50" spans="3:17" s="21" customFormat="1" x14ac:dyDescent="0.3">
      <c r="C50" s="14" t="str">
        <f t="shared" si="0"/>
        <v>Q91</v>
      </c>
      <c r="D50" s="14" t="s">
        <v>16</v>
      </c>
      <c r="E50" s="14" t="s">
        <v>17</v>
      </c>
      <c r="F50" s="15" t="s">
        <v>62</v>
      </c>
      <c r="G50" s="16">
        <v>10</v>
      </c>
      <c r="H50" s="16">
        <v>91</v>
      </c>
      <c r="I50" s="17" t="s">
        <v>19</v>
      </c>
      <c r="J50" s="18">
        <v>45701</v>
      </c>
      <c r="K50" s="19">
        <v>0.98</v>
      </c>
      <c r="L50" s="20">
        <v>6398</v>
      </c>
      <c r="M50" s="14" t="s">
        <v>20</v>
      </c>
      <c r="N50" s="8" t="s">
        <v>69</v>
      </c>
      <c r="O50" s="8">
        <f>Tabla5[[#This Row],[TURNO]]</f>
        <v>10</v>
      </c>
      <c r="P50" s="8" t="str">
        <f>Tabla5[[#This Row],[MODULO]]</f>
        <v>M2</v>
      </c>
      <c r="Q50" s="8" t="str">
        <f>CONCATENATE(Tabla5[[#This Row],[MODULO]],"/T",Tabla5[[#This Row],[TURNO]])</f>
        <v>M2/T10</v>
      </c>
    </row>
    <row r="51" spans="3:17" s="21" customFormat="1" x14ac:dyDescent="0.3">
      <c r="C51" s="14" t="str">
        <f t="shared" si="0"/>
        <v>Q92</v>
      </c>
      <c r="D51" s="14" t="s">
        <v>16</v>
      </c>
      <c r="E51" s="14" t="s">
        <v>17</v>
      </c>
      <c r="F51" s="15" t="s">
        <v>62</v>
      </c>
      <c r="G51" s="16">
        <v>10</v>
      </c>
      <c r="H51" s="16">
        <v>92</v>
      </c>
      <c r="I51" s="17" t="s">
        <v>19</v>
      </c>
      <c r="J51" s="18">
        <v>45701</v>
      </c>
      <c r="K51" s="19">
        <v>0.98</v>
      </c>
      <c r="L51" s="20">
        <v>6397</v>
      </c>
      <c r="M51" s="14" t="s">
        <v>20</v>
      </c>
      <c r="N51" s="8" t="s">
        <v>70</v>
      </c>
      <c r="O51" s="8">
        <f>Tabla5[[#This Row],[TURNO]]</f>
        <v>10</v>
      </c>
      <c r="P51" s="8" t="str">
        <f>Tabla5[[#This Row],[MODULO]]</f>
        <v>M2</v>
      </c>
      <c r="Q51" s="8" t="str">
        <f>CONCATENATE(Tabla5[[#This Row],[MODULO]],"/T",Tabla5[[#This Row],[TURNO]])</f>
        <v>M2/T10</v>
      </c>
    </row>
    <row r="52" spans="3:17" s="21" customFormat="1" x14ac:dyDescent="0.3">
      <c r="C52" s="14" t="str">
        <f t="shared" si="0"/>
        <v>Q93</v>
      </c>
      <c r="D52" s="14" t="s">
        <v>16</v>
      </c>
      <c r="E52" s="14" t="s">
        <v>17</v>
      </c>
      <c r="F52" s="15" t="s">
        <v>62</v>
      </c>
      <c r="G52" s="16">
        <v>10</v>
      </c>
      <c r="H52" s="16">
        <v>93</v>
      </c>
      <c r="I52" s="17" t="s">
        <v>19</v>
      </c>
      <c r="J52" s="18">
        <v>45701</v>
      </c>
      <c r="K52" s="19">
        <v>0.98</v>
      </c>
      <c r="L52" s="20">
        <v>6397</v>
      </c>
      <c r="M52" s="14" t="s">
        <v>20</v>
      </c>
      <c r="N52" s="8" t="s">
        <v>71</v>
      </c>
      <c r="O52" s="8">
        <f>Tabla5[[#This Row],[TURNO]]</f>
        <v>10</v>
      </c>
      <c r="P52" s="8" t="str">
        <f>Tabla5[[#This Row],[MODULO]]</f>
        <v>M2</v>
      </c>
      <c r="Q52" s="8" t="str">
        <f>CONCATENATE(Tabla5[[#This Row],[MODULO]],"/T",Tabla5[[#This Row],[TURNO]])</f>
        <v>M2/T10</v>
      </c>
    </row>
    <row r="53" spans="3:17" s="21" customFormat="1" x14ac:dyDescent="0.3">
      <c r="C53" s="14" t="str">
        <f t="shared" si="0"/>
        <v>Q94</v>
      </c>
      <c r="D53" s="14" t="s">
        <v>16</v>
      </c>
      <c r="E53" s="14" t="s">
        <v>17</v>
      </c>
      <c r="F53" s="15" t="s">
        <v>62</v>
      </c>
      <c r="G53" s="16">
        <v>10</v>
      </c>
      <c r="H53" s="16">
        <v>94</v>
      </c>
      <c r="I53" s="17" t="s">
        <v>19</v>
      </c>
      <c r="J53" s="18">
        <v>45700</v>
      </c>
      <c r="K53" s="19">
        <v>0.97</v>
      </c>
      <c r="L53" s="20">
        <v>6390</v>
      </c>
      <c r="M53" s="14" t="s">
        <v>20</v>
      </c>
      <c r="N53" s="8" t="s">
        <v>72</v>
      </c>
      <c r="O53" s="8">
        <f>Tabla5[[#This Row],[TURNO]]</f>
        <v>10</v>
      </c>
      <c r="P53" s="8" t="str">
        <f>Tabla5[[#This Row],[MODULO]]</f>
        <v>M2</v>
      </c>
      <c r="Q53" s="8" t="str">
        <f>CONCATENATE(Tabla5[[#This Row],[MODULO]],"/T",Tabla5[[#This Row],[TURNO]])</f>
        <v>M2/T10</v>
      </c>
    </row>
    <row r="54" spans="3:17" s="21" customFormat="1" x14ac:dyDescent="0.3">
      <c r="C54" s="14" t="str">
        <f t="shared" si="0"/>
        <v>Q53</v>
      </c>
      <c r="D54" s="14" t="s">
        <v>16</v>
      </c>
      <c r="E54" s="14" t="s">
        <v>17</v>
      </c>
      <c r="F54" s="15" t="s">
        <v>62</v>
      </c>
      <c r="G54" s="16">
        <v>2</v>
      </c>
      <c r="H54" s="16">
        <v>53</v>
      </c>
      <c r="I54" s="17" t="s">
        <v>19</v>
      </c>
      <c r="J54" s="18">
        <v>45696</v>
      </c>
      <c r="K54" s="19">
        <v>0.98</v>
      </c>
      <c r="L54" s="20">
        <v>6395</v>
      </c>
      <c r="M54" s="14" t="s">
        <v>20</v>
      </c>
      <c r="N54" s="8" t="s">
        <v>73</v>
      </c>
      <c r="O54" s="8">
        <f>Tabla5[[#This Row],[TURNO]]</f>
        <v>2</v>
      </c>
      <c r="P54" s="8" t="str">
        <f>Tabla5[[#This Row],[MODULO]]</f>
        <v>M2</v>
      </c>
      <c r="Q54" s="8" t="str">
        <f>CONCATENATE(Tabla5[[#This Row],[MODULO]],"/T",Tabla5[[#This Row],[TURNO]])</f>
        <v>M2/T2</v>
      </c>
    </row>
    <row r="55" spans="3:17" s="21" customFormat="1" x14ac:dyDescent="0.3">
      <c r="C55" s="14" t="str">
        <f t="shared" si="0"/>
        <v>Q54</v>
      </c>
      <c r="D55" s="14" t="s">
        <v>16</v>
      </c>
      <c r="E55" s="14" t="s">
        <v>17</v>
      </c>
      <c r="F55" s="15" t="s">
        <v>62</v>
      </c>
      <c r="G55" s="16">
        <v>2</v>
      </c>
      <c r="H55" s="16">
        <v>54</v>
      </c>
      <c r="I55" s="17" t="s">
        <v>19</v>
      </c>
      <c r="J55" s="18">
        <v>45696</v>
      </c>
      <c r="K55" s="19">
        <v>0.98</v>
      </c>
      <c r="L55" s="20">
        <v>6395</v>
      </c>
      <c r="M55" s="14" t="s">
        <v>20</v>
      </c>
      <c r="N55" s="8" t="s">
        <v>74</v>
      </c>
      <c r="O55" s="8">
        <f>Tabla5[[#This Row],[TURNO]]</f>
        <v>2</v>
      </c>
      <c r="P55" s="8" t="str">
        <f>Tabla5[[#This Row],[MODULO]]</f>
        <v>M2</v>
      </c>
      <c r="Q55" s="8" t="str">
        <f>CONCATENATE(Tabla5[[#This Row],[MODULO]],"/T",Tabla5[[#This Row],[TURNO]])</f>
        <v>M2/T2</v>
      </c>
    </row>
    <row r="56" spans="3:17" s="21" customFormat="1" x14ac:dyDescent="0.3">
      <c r="C56" s="14" t="str">
        <f t="shared" si="0"/>
        <v>Q55</v>
      </c>
      <c r="D56" s="14" t="s">
        <v>16</v>
      </c>
      <c r="E56" s="14" t="s">
        <v>17</v>
      </c>
      <c r="F56" s="15" t="s">
        <v>62</v>
      </c>
      <c r="G56" s="16">
        <v>2</v>
      </c>
      <c r="H56" s="16">
        <v>55</v>
      </c>
      <c r="I56" s="17" t="s">
        <v>19</v>
      </c>
      <c r="J56" s="18">
        <v>45696</v>
      </c>
      <c r="K56" s="19">
        <v>0.89</v>
      </c>
      <c r="L56" s="20">
        <v>5879</v>
      </c>
      <c r="M56" s="14" t="s">
        <v>20</v>
      </c>
      <c r="N56" s="8" t="s">
        <v>75</v>
      </c>
      <c r="O56" s="8">
        <f>Tabla5[[#This Row],[TURNO]]</f>
        <v>2</v>
      </c>
      <c r="P56" s="8" t="str">
        <f>Tabla5[[#This Row],[MODULO]]</f>
        <v>M2</v>
      </c>
      <c r="Q56" s="8" t="str">
        <f>CONCATENATE(Tabla5[[#This Row],[MODULO]],"/T",Tabla5[[#This Row],[TURNO]])</f>
        <v>M2/T2</v>
      </c>
    </row>
    <row r="57" spans="3:17" s="21" customFormat="1" x14ac:dyDescent="0.3">
      <c r="C57" s="14" t="str">
        <f t="shared" si="0"/>
        <v>Q56</v>
      </c>
      <c r="D57" s="14" t="s">
        <v>16</v>
      </c>
      <c r="E57" s="14" t="s">
        <v>17</v>
      </c>
      <c r="F57" s="15" t="s">
        <v>62</v>
      </c>
      <c r="G57" s="16">
        <v>2</v>
      </c>
      <c r="H57" s="16">
        <v>56</v>
      </c>
      <c r="I57" s="17" t="s">
        <v>19</v>
      </c>
      <c r="J57" s="18">
        <v>45698</v>
      </c>
      <c r="K57" s="19">
        <v>0.61</v>
      </c>
      <c r="L57" s="20">
        <v>4136</v>
      </c>
      <c r="M57" s="14" t="s">
        <v>20</v>
      </c>
      <c r="N57" s="8" t="s">
        <v>76</v>
      </c>
      <c r="O57" s="8">
        <f>Tabla5[[#This Row],[TURNO]]</f>
        <v>2</v>
      </c>
      <c r="P57" s="8" t="str">
        <f>Tabla5[[#This Row],[MODULO]]</f>
        <v>M2</v>
      </c>
      <c r="Q57" s="8" t="str">
        <f>CONCATENATE(Tabla5[[#This Row],[MODULO]],"/T",Tabla5[[#This Row],[TURNO]])</f>
        <v>M2/T2</v>
      </c>
    </row>
    <row r="58" spans="3:17" s="21" customFormat="1" x14ac:dyDescent="0.3">
      <c r="C58" s="14" t="str">
        <f t="shared" si="0"/>
        <v>Q57</v>
      </c>
      <c r="D58" s="14" t="s">
        <v>16</v>
      </c>
      <c r="E58" s="14" t="s">
        <v>17</v>
      </c>
      <c r="F58" s="15" t="s">
        <v>62</v>
      </c>
      <c r="G58" s="16">
        <v>2</v>
      </c>
      <c r="H58" s="16">
        <v>57</v>
      </c>
      <c r="I58" s="17" t="s">
        <v>19</v>
      </c>
      <c r="J58" s="18">
        <v>45698</v>
      </c>
      <c r="K58" s="19">
        <v>0.37</v>
      </c>
      <c r="L58" s="20">
        <v>2679</v>
      </c>
      <c r="M58" s="14" t="s">
        <v>20</v>
      </c>
      <c r="N58" s="8" t="s">
        <v>77</v>
      </c>
      <c r="O58" s="8">
        <f>Tabla5[[#This Row],[TURNO]]</f>
        <v>2</v>
      </c>
      <c r="P58" s="8" t="str">
        <f>Tabla5[[#This Row],[MODULO]]</f>
        <v>M2</v>
      </c>
      <c r="Q58" s="8" t="str">
        <f>CONCATENATE(Tabla5[[#This Row],[MODULO]],"/T",Tabla5[[#This Row],[TURNO]])</f>
        <v>M2/T2</v>
      </c>
    </row>
    <row r="59" spans="3:17" s="21" customFormat="1" x14ac:dyDescent="0.3">
      <c r="C59" s="14" t="str">
        <f t="shared" si="0"/>
        <v>Q58</v>
      </c>
      <c r="D59" s="14" t="s">
        <v>16</v>
      </c>
      <c r="E59" s="14" t="s">
        <v>17</v>
      </c>
      <c r="F59" s="15" t="s">
        <v>62</v>
      </c>
      <c r="G59" s="16">
        <v>3</v>
      </c>
      <c r="H59" s="16">
        <v>58</v>
      </c>
      <c r="I59" s="17" t="s">
        <v>19</v>
      </c>
      <c r="J59" s="18">
        <v>45694</v>
      </c>
      <c r="K59" s="19">
        <v>0.15</v>
      </c>
      <c r="L59" s="20">
        <v>1087</v>
      </c>
      <c r="M59" s="14" t="s">
        <v>20</v>
      </c>
      <c r="N59" s="8" t="s">
        <v>78</v>
      </c>
      <c r="O59" s="8">
        <f>Tabla5[[#This Row],[TURNO]]</f>
        <v>3</v>
      </c>
      <c r="P59" s="8" t="str">
        <f>Tabla5[[#This Row],[MODULO]]</f>
        <v>M2</v>
      </c>
      <c r="Q59" s="8" t="str">
        <f>CONCATENATE(Tabla5[[#This Row],[MODULO]],"/T",Tabla5[[#This Row],[TURNO]])</f>
        <v>M2/T3</v>
      </c>
    </row>
    <row r="60" spans="3:17" s="21" customFormat="1" x14ac:dyDescent="0.3">
      <c r="C60" s="14" t="str">
        <f t="shared" si="0"/>
        <v>Q59</v>
      </c>
      <c r="D60" s="14" t="s">
        <v>16</v>
      </c>
      <c r="E60" s="14" t="s">
        <v>17</v>
      </c>
      <c r="F60" s="15" t="s">
        <v>62</v>
      </c>
      <c r="G60" s="16">
        <v>3</v>
      </c>
      <c r="H60" s="16">
        <v>59</v>
      </c>
      <c r="I60" s="17" t="s">
        <v>19</v>
      </c>
      <c r="J60" s="18">
        <v>45694</v>
      </c>
      <c r="K60" s="19">
        <v>0.81</v>
      </c>
      <c r="L60" s="20">
        <v>5333</v>
      </c>
      <c r="M60" s="14" t="s">
        <v>20</v>
      </c>
      <c r="N60" s="8" t="s">
        <v>79</v>
      </c>
      <c r="O60" s="8">
        <f>Tabla5[[#This Row],[TURNO]]</f>
        <v>3</v>
      </c>
      <c r="P60" s="8" t="str">
        <f>Tabla5[[#This Row],[MODULO]]</f>
        <v>M2</v>
      </c>
      <c r="Q60" s="8" t="str">
        <f>CONCATENATE(Tabla5[[#This Row],[MODULO]],"/T",Tabla5[[#This Row],[TURNO]])</f>
        <v>M2/T3</v>
      </c>
    </row>
    <row r="61" spans="3:17" s="21" customFormat="1" x14ac:dyDescent="0.3">
      <c r="C61" s="14" t="str">
        <f t="shared" si="0"/>
        <v>Q60</v>
      </c>
      <c r="D61" s="14" t="s">
        <v>16</v>
      </c>
      <c r="E61" s="14" t="s">
        <v>17</v>
      </c>
      <c r="F61" s="15" t="s">
        <v>62</v>
      </c>
      <c r="G61" s="16">
        <v>3</v>
      </c>
      <c r="H61" s="16">
        <v>60</v>
      </c>
      <c r="I61" s="17" t="s">
        <v>19</v>
      </c>
      <c r="J61" s="18">
        <v>45694</v>
      </c>
      <c r="K61" s="19">
        <v>0.98</v>
      </c>
      <c r="L61" s="20">
        <v>6431</v>
      </c>
      <c r="M61" s="14" t="s">
        <v>20</v>
      </c>
      <c r="N61" s="8" t="s">
        <v>80</v>
      </c>
      <c r="O61" s="8">
        <f>Tabla5[[#This Row],[TURNO]]</f>
        <v>3</v>
      </c>
      <c r="P61" s="8" t="str">
        <f>Tabla5[[#This Row],[MODULO]]</f>
        <v>M2</v>
      </c>
      <c r="Q61" s="8" t="str">
        <f>CONCATENATE(Tabla5[[#This Row],[MODULO]],"/T",Tabla5[[#This Row],[TURNO]])</f>
        <v>M2/T3</v>
      </c>
    </row>
    <row r="62" spans="3:17" s="21" customFormat="1" x14ac:dyDescent="0.3">
      <c r="C62" s="14" t="str">
        <f t="shared" si="0"/>
        <v>Q61</v>
      </c>
      <c r="D62" s="14" t="s">
        <v>16</v>
      </c>
      <c r="E62" s="14" t="s">
        <v>17</v>
      </c>
      <c r="F62" s="15" t="s">
        <v>62</v>
      </c>
      <c r="G62" s="16">
        <v>3</v>
      </c>
      <c r="H62" s="16">
        <v>61</v>
      </c>
      <c r="I62" s="17" t="s">
        <v>19</v>
      </c>
      <c r="J62" s="18">
        <v>45693</v>
      </c>
      <c r="K62" s="19">
        <v>0.98</v>
      </c>
      <c r="L62" s="20">
        <v>6395</v>
      </c>
      <c r="M62" s="14" t="s">
        <v>20</v>
      </c>
      <c r="N62" s="8" t="s">
        <v>81</v>
      </c>
      <c r="O62" s="8">
        <f>Tabla5[[#This Row],[TURNO]]</f>
        <v>3</v>
      </c>
      <c r="P62" s="8" t="str">
        <f>Tabla5[[#This Row],[MODULO]]</f>
        <v>M2</v>
      </c>
      <c r="Q62" s="8" t="str">
        <f>CONCATENATE(Tabla5[[#This Row],[MODULO]],"/T",Tabla5[[#This Row],[TURNO]])</f>
        <v>M2/T3</v>
      </c>
    </row>
    <row r="63" spans="3:17" s="21" customFormat="1" x14ac:dyDescent="0.3">
      <c r="C63" s="14" t="str">
        <f t="shared" si="0"/>
        <v>Q62</v>
      </c>
      <c r="D63" s="14" t="s">
        <v>16</v>
      </c>
      <c r="E63" s="14" t="s">
        <v>17</v>
      </c>
      <c r="F63" s="15" t="s">
        <v>62</v>
      </c>
      <c r="G63" s="16">
        <v>3</v>
      </c>
      <c r="H63" s="16">
        <v>62</v>
      </c>
      <c r="I63" s="17" t="s">
        <v>19</v>
      </c>
      <c r="J63" s="18">
        <v>45689</v>
      </c>
      <c r="K63" s="19">
        <v>0.63</v>
      </c>
      <c r="L63" s="20">
        <v>4155</v>
      </c>
      <c r="M63" s="14" t="s">
        <v>20</v>
      </c>
      <c r="N63" s="8" t="s">
        <v>82</v>
      </c>
      <c r="O63" s="8">
        <f>Tabla5[[#This Row],[TURNO]]</f>
        <v>3</v>
      </c>
      <c r="P63" s="8" t="str">
        <f>Tabla5[[#This Row],[MODULO]]</f>
        <v>M2</v>
      </c>
      <c r="Q63" s="8" t="str">
        <f>CONCATENATE(Tabla5[[#This Row],[MODULO]],"/T",Tabla5[[#This Row],[TURNO]])</f>
        <v>M2/T3</v>
      </c>
    </row>
    <row r="64" spans="3:17" s="21" customFormat="1" x14ac:dyDescent="0.3">
      <c r="C64" s="14" t="str">
        <f t="shared" si="0"/>
        <v>Q63</v>
      </c>
      <c r="D64" s="14" t="s">
        <v>16</v>
      </c>
      <c r="E64" s="14" t="s">
        <v>17</v>
      </c>
      <c r="F64" s="15" t="s">
        <v>62</v>
      </c>
      <c r="G64" s="16">
        <v>3</v>
      </c>
      <c r="H64" s="16">
        <v>63</v>
      </c>
      <c r="I64" s="17" t="s">
        <v>19</v>
      </c>
      <c r="J64" s="18">
        <v>45688</v>
      </c>
      <c r="K64" s="19">
        <v>0.77</v>
      </c>
      <c r="L64" s="20">
        <v>5132</v>
      </c>
      <c r="M64" s="14" t="s">
        <v>20</v>
      </c>
      <c r="N64" s="8" t="s">
        <v>83</v>
      </c>
      <c r="O64" s="8">
        <f>Tabla5[[#This Row],[TURNO]]</f>
        <v>3</v>
      </c>
      <c r="P64" s="8" t="str">
        <f>Tabla5[[#This Row],[MODULO]]</f>
        <v>M2</v>
      </c>
      <c r="Q64" s="8" t="str">
        <f>CONCATENATE(Tabla5[[#This Row],[MODULO]],"/T",Tabla5[[#This Row],[TURNO]])</f>
        <v>M2/T3</v>
      </c>
    </row>
    <row r="65" spans="3:17" s="21" customFormat="1" x14ac:dyDescent="0.3">
      <c r="C65" s="14" t="str">
        <f t="shared" si="0"/>
        <v>Q64</v>
      </c>
      <c r="D65" s="14" t="s">
        <v>16</v>
      </c>
      <c r="E65" s="14" t="s">
        <v>17</v>
      </c>
      <c r="F65" s="15" t="s">
        <v>62</v>
      </c>
      <c r="G65" s="16">
        <v>4</v>
      </c>
      <c r="H65" s="16">
        <v>64</v>
      </c>
      <c r="I65" s="17" t="s">
        <v>19</v>
      </c>
      <c r="J65" s="18">
        <v>45688</v>
      </c>
      <c r="K65" s="19">
        <v>0.7</v>
      </c>
      <c r="L65" s="20">
        <v>4658</v>
      </c>
      <c r="M65" s="14" t="s">
        <v>20</v>
      </c>
      <c r="N65" s="8" t="s">
        <v>84</v>
      </c>
      <c r="O65" s="8">
        <f>Tabla5[[#This Row],[TURNO]]</f>
        <v>4</v>
      </c>
      <c r="P65" s="8" t="str">
        <f>Tabla5[[#This Row],[MODULO]]</f>
        <v>M2</v>
      </c>
      <c r="Q65" s="8" t="str">
        <f>CONCATENATE(Tabla5[[#This Row],[MODULO]],"/T",Tabla5[[#This Row],[TURNO]])</f>
        <v>M2/T4</v>
      </c>
    </row>
    <row r="66" spans="3:17" s="21" customFormat="1" x14ac:dyDescent="0.3">
      <c r="C66" s="14" t="str">
        <f t="shared" si="0"/>
        <v>Q65</v>
      </c>
      <c r="D66" s="14" t="s">
        <v>16</v>
      </c>
      <c r="E66" s="14" t="s">
        <v>17</v>
      </c>
      <c r="F66" s="15" t="s">
        <v>62</v>
      </c>
      <c r="G66" s="16">
        <v>4</v>
      </c>
      <c r="H66" s="16">
        <v>65</v>
      </c>
      <c r="I66" s="17" t="s">
        <v>19</v>
      </c>
      <c r="J66" s="18">
        <v>45693</v>
      </c>
      <c r="K66" s="19">
        <v>0.98</v>
      </c>
      <c r="L66" s="20">
        <v>6395</v>
      </c>
      <c r="M66" s="14" t="s">
        <v>20</v>
      </c>
      <c r="N66" s="8" t="s">
        <v>85</v>
      </c>
      <c r="O66" s="8">
        <f>Tabla5[[#This Row],[TURNO]]</f>
        <v>4</v>
      </c>
      <c r="P66" s="8" t="str">
        <f>Tabla5[[#This Row],[MODULO]]</f>
        <v>M2</v>
      </c>
      <c r="Q66" s="8" t="str">
        <f>CONCATENATE(Tabla5[[#This Row],[MODULO]],"/T",Tabla5[[#This Row],[TURNO]])</f>
        <v>M2/T4</v>
      </c>
    </row>
    <row r="67" spans="3:17" s="21" customFormat="1" x14ac:dyDescent="0.3">
      <c r="C67" s="14" t="str">
        <f t="shared" ref="C67:C130" si="1">CONCATENATE(MID($D67,1,1),$H67)</f>
        <v>Q66</v>
      </c>
      <c r="D67" s="14" t="s">
        <v>16</v>
      </c>
      <c r="E67" s="14" t="s">
        <v>17</v>
      </c>
      <c r="F67" s="15" t="s">
        <v>62</v>
      </c>
      <c r="G67" s="16">
        <v>4</v>
      </c>
      <c r="H67" s="16">
        <v>66</v>
      </c>
      <c r="I67" s="17" t="s">
        <v>19</v>
      </c>
      <c r="J67" s="18">
        <v>45688</v>
      </c>
      <c r="K67" s="19">
        <v>0.68</v>
      </c>
      <c r="L67" s="20">
        <v>4613</v>
      </c>
      <c r="M67" s="14" t="s">
        <v>20</v>
      </c>
      <c r="N67" s="8" t="s">
        <v>86</v>
      </c>
      <c r="O67" s="8">
        <f>Tabla5[[#This Row],[TURNO]]</f>
        <v>4</v>
      </c>
      <c r="P67" s="8" t="str">
        <f>Tabla5[[#This Row],[MODULO]]</f>
        <v>M2</v>
      </c>
      <c r="Q67" s="8" t="str">
        <f>CONCATENATE(Tabla5[[#This Row],[MODULO]],"/T",Tabla5[[#This Row],[TURNO]])</f>
        <v>M2/T4</v>
      </c>
    </row>
    <row r="68" spans="3:17" s="21" customFormat="1" x14ac:dyDescent="0.3">
      <c r="C68" s="14" t="str">
        <f t="shared" si="1"/>
        <v>Q67</v>
      </c>
      <c r="D68" s="14" t="s">
        <v>16</v>
      </c>
      <c r="E68" s="14" t="s">
        <v>17</v>
      </c>
      <c r="F68" s="15" t="s">
        <v>62</v>
      </c>
      <c r="G68" s="16">
        <v>4</v>
      </c>
      <c r="H68" s="16">
        <v>67</v>
      </c>
      <c r="I68" s="17" t="s">
        <v>19</v>
      </c>
      <c r="J68" s="18">
        <v>45687</v>
      </c>
      <c r="K68" s="19">
        <v>0.67</v>
      </c>
      <c r="L68" s="20">
        <v>4910</v>
      </c>
      <c r="M68" s="14" t="s">
        <v>20</v>
      </c>
      <c r="N68" s="8" t="s">
        <v>87</v>
      </c>
      <c r="O68" s="8">
        <f>Tabla5[[#This Row],[TURNO]]</f>
        <v>4</v>
      </c>
      <c r="P68" s="8" t="str">
        <f>Tabla5[[#This Row],[MODULO]]</f>
        <v>M2</v>
      </c>
      <c r="Q68" s="8" t="str">
        <f>CONCATENATE(Tabla5[[#This Row],[MODULO]],"/T",Tabla5[[#This Row],[TURNO]])</f>
        <v>M2/T4</v>
      </c>
    </row>
    <row r="69" spans="3:17" s="21" customFormat="1" x14ac:dyDescent="0.3">
      <c r="C69" s="14" t="str">
        <f t="shared" si="1"/>
        <v>Q68</v>
      </c>
      <c r="D69" s="14" t="s">
        <v>16</v>
      </c>
      <c r="E69" s="14" t="s">
        <v>17</v>
      </c>
      <c r="F69" s="15" t="s">
        <v>62</v>
      </c>
      <c r="G69" s="16">
        <v>4</v>
      </c>
      <c r="H69" s="16">
        <v>68</v>
      </c>
      <c r="I69" s="17" t="s">
        <v>19</v>
      </c>
      <c r="J69" s="18">
        <v>45687</v>
      </c>
      <c r="K69" s="19">
        <v>0.65</v>
      </c>
      <c r="L69" s="20">
        <v>3929</v>
      </c>
      <c r="M69" s="14" t="s">
        <v>20</v>
      </c>
      <c r="N69" s="8" t="s">
        <v>88</v>
      </c>
      <c r="O69" s="8">
        <f>Tabla5[[#This Row],[TURNO]]</f>
        <v>4</v>
      </c>
      <c r="P69" s="8" t="str">
        <f>Tabla5[[#This Row],[MODULO]]</f>
        <v>M2</v>
      </c>
      <c r="Q69" s="8" t="str">
        <f>CONCATENATE(Tabla5[[#This Row],[MODULO]],"/T",Tabla5[[#This Row],[TURNO]])</f>
        <v>M2/T4</v>
      </c>
    </row>
    <row r="70" spans="3:17" s="21" customFormat="1" x14ac:dyDescent="0.3">
      <c r="C70" s="14" t="str">
        <f t="shared" si="1"/>
        <v>Q275</v>
      </c>
      <c r="D70" s="14" t="s">
        <v>16</v>
      </c>
      <c r="E70" s="14" t="s">
        <v>17</v>
      </c>
      <c r="F70" s="15" t="s">
        <v>62</v>
      </c>
      <c r="G70" s="16">
        <v>4</v>
      </c>
      <c r="H70" s="16">
        <v>275</v>
      </c>
      <c r="I70" s="17" t="s">
        <v>19</v>
      </c>
      <c r="J70" s="18">
        <v>45693</v>
      </c>
      <c r="K70" s="19">
        <v>0.98</v>
      </c>
      <c r="L70" s="20">
        <v>6395</v>
      </c>
      <c r="M70" s="14" t="s">
        <v>20</v>
      </c>
      <c r="N70" s="8" t="s">
        <v>89</v>
      </c>
      <c r="O70" s="8">
        <f>Tabla5[[#This Row],[TURNO]]</f>
        <v>4</v>
      </c>
      <c r="P70" s="8" t="str">
        <f>Tabla5[[#This Row],[MODULO]]</f>
        <v>M2</v>
      </c>
      <c r="Q70" s="8" t="str">
        <f>CONCATENATE(Tabla5[[#This Row],[MODULO]],"/T",Tabla5[[#This Row],[TURNO]])</f>
        <v>M2/T4</v>
      </c>
    </row>
    <row r="71" spans="3:17" s="21" customFormat="1" x14ac:dyDescent="0.3">
      <c r="C71" s="14" t="str">
        <f t="shared" si="1"/>
        <v>Q69</v>
      </c>
      <c r="D71" s="14" t="s">
        <v>16</v>
      </c>
      <c r="E71" s="14" t="s">
        <v>17</v>
      </c>
      <c r="F71" s="15" t="s">
        <v>62</v>
      </c>
      <c r="G71" s="16">
        <v>5</v>
      </c>
      <c r="H71" s="16">
        <v>69</v>
      </c>
      <c r="I71" s="17" t="s">
        <v>19</v>
      </c>
      <c r="J71" s="18">
        <v>45692</v>
      </c>
      <c r="K71" s="19">
        <v>0.98</v>
      </c>
      <c r="L71" s="20">
        <v>6396</v>
      </c>
      <c r="M71" s="14" t="s">
        <v>20</v>
      </c>
      <c r="N71" s="8" t="s">
        <v>90</v>
      </c>
      <c r="O71" s="8">
        <f>Tabla5[[#This Row],[TURNO]]</f>
        <v>5</v>
      </c>
      <c r="P71" s="8" t="str">
        <f>Tabla5[[#This Row],[MODULO]]</f>
        <v>M2</v>
      </c>
      <c r="Q71" s="8" t="str">
        <f>CONCATENATE(Tabla5[[#This Row],[MODULO]],"/T",Tabla5[[#This Row],[TURNO]])</f>
        <v>M2/T5</v>
      </c>
    </row>
    <row r="72" spans="3:17" s="21" customFormat="1" x14ac:dyDescent="0.3">
      <c r="C72" s="14" t="str">
        <f t="shared" si="1"/>
        <v>Q70</v>
      </c>
      <c r="D72" s="14" t="s">
        <v>16</v>
      </c>
      <c r="E72" s="14" t="s">
        <v>17</v>
      </c>
      <c r="F72" s="15" t="s">
        <v>62</v>
      </c>
      <c r="G72" s="16">
        <v>5</v>
      </c>
      <c r="H72" s="16">
        <v>70</v>
      </c>
      <c r="I72" s="17" t="s">
        <v>19</v>
      </c>
      <c r="J72" s="18">
        <v>45693</v>
      </c>
      <c r="K72" s="19">
        <v>0.97</v>
      </c>
      <c r="L72" s="20">
        <v>6396</v>
      </c>
      <c r="M72" s="14" t="s">
        <v>20</v>
      </c>
      <c r="N72" s="8" t="s">
        <v>91</v>
      </c>
      <c r="O72" s="8">
        <f>Tabla5[[#This Row],[TURNO]]</f>
        <v>5</v>
      </c>
      <c r="P72" s="8" t="str">
        <f>Tabla5[[#This Row],[MODULO]]</f>
        <v>M2</v>
      </c>
      <c r="Q72" s="8" t="str">
        <f>CONCATENATE(Tabla5[[#This Row],[MODULO]],"/T",Tabla5[[#This Row],[TURNO]])</f>
        <v>M2/T5</v>
      </c>
    </row>
    <row r="73" spans="3:17" s="21" customFormat="1" x14ac:dyDescent="0.3">
      <c r="C73" s="14" t="str">
        <f t="shared" si="1"/>
        <v>Q71</v>
      </c>
      <c r="D73" s="14" t="s">
        <v>16</v>
      </c>
      <c r="E73" s="14" t="s">
        <v>17</v>
      </c>
      <c r="F73" s="15" t="s">
        <v>62</v>
      </c>
      <c r="G73" s="16">
        <v>5</v>
      </c>
      <c r="H73" s="16">
        <v>71</v>
      </c>
      <c r="I73" s="17" t="s">
        <v>19</v>
      </c>
      <c r="J73" s="18">
        <v>45695</v>
      </c>
      <c r="K73" s="19">
        <v>0.98</v>
      </c>
      <c r="L73" s="20">
        <v>6396</v>
      </c>
      <c r="M73" s="14" t="s">
        <v>20</v>
      </c>
      <c r="N73" s="8" t="s">
        <v>92</v>
      </c>
      <c r="O73" s="8">
        <f>Tabla5[[#This Row],[TURNO]]</f>
        <v>5</v>
      </c>
      <c r="P73" s="8" t="str">
        <f>Tabla5[[#This Row],[MODULO]]</f>
        <v>M2</v>
      </c>
      <c r="Q73" s="8" t="str">
        <f>CONCATENATE(Tabla5[[#This Row],[MODULO]],"/T",Tabla5[[#This Row],[TURNO]])</f>
        <v>M2/T5</v>
      </c>
    </row>
    <row r="74" spans="3:17" s="21" customFormat="1" x14ac:dyDescent="0.3">
      <c r="C74" s="14" t="str">
        <f t="shared" si="1"/>
        <v>Q72</v>
      </c>
      <c r="D74" s="14" t="s">
        <v>16</v>
      </c>
      <c r="E74" s="14" t="s">
        <v>17</v>
      </c>
      <c r="F74" s="15" t="s">
        <v>62</v>
      </c>
      <c r="G74" s="16">
        <v>5</v>
      </c>
      <c r="H74" s="16">
        <v>72</v>
      </c>
      <c r="I74" s="17" t="s">
        <v>19</v>
      </c>
      <c r="J74" s="18">
        <v>45695</v>
      </c>
      <c r="K74" s="19">
        <v>0.98</v>
      </c>
      <c r="L74" s="20">
        <v>6396</v>
      </c>
      <c r="M74" s="14" t="s">
        <v>20</v>
      </c>
      <c r="N74" s="8" t="s">
        <v>93</v>
      </c>
      <c r="O74" s="8">
        <f>Tabla5[[#This Row],[TURNO]]</f>
        <v>5</v>
      </c>
      <c r="P74" s="8" t="str">
        <f>Tabla5[[#This Row],[MODULO]]</f>
        <v>M2</v>
      </c>
      <c r="Q74" s="8" t="str">
        <f>CONCATENATE(Tabla5[[#This Row],[MODULO]],"/T",Tabla5[[#This Row],[TURNO]])</f>
        <v>M2/T5</v>
      </c>
    </row>
    <row r="75" spans="3:17" s="21" customFormat="1" x14ac:dyDescent="0.3">
      <c r="C75" s="14" t="str">
        <f t="shared" si="1"/>
        <v>Q73</v>
      </c>
      <c r="D75" s="14" t="s">
        <v>16</v>
      </c>
      <c r="E75" s="14" t="s">
        <v>17</v>
      </c>
      <c r="F75" s="15" t="s">
        <v>62</v>
      </c>
      <c r="G75" s="16">
        <v>6</v>
      </c>
      <c r="H75" s="16">
        <v>73</v>
      </c>
      <c r="I75" s="17" t="s">
        <v>19</v>
      </c>
      <c r="J75" s="18">
        <v>45695</v>
      </c>
      <c r="K75" s="19">
        <v>0.97</v>
      </c>
      <c r="L75" s="20">
        <v>6394</v>
      </c>
      <c r="M75" s="14" t="s">
        <v>20</v>
      </c>
      <c r="N75" s="8" t="s">
        <v>94</v>
      </c>
      <c r="O75" s="8">
        <f>Tabla5[[#This Row],[TURNO]]</f>
        <v>6</v>
      </c>
      <c r="P75" s="8" t="str">
        <f>Tabla5[[#This Row],[MODULO]]</f>
        <v>M2</v>
      </c>
      <c r="Q75" s="8" t="str">
        <f>CONCATENATE(Tabla5[[#This Row],[MODULO]],"/T",Tabla5[[#This Row],[TURNO]])</f>
        <v>M2/T6</v>
      </c>
    </row>
    <row r="76" spans="3:17" s="21" customFormat="1" x14ac:dyDescent="0.3">
      <c r="C76" s="14" t="str">
        <f t="shared" si="1"/>
        <v>Q74</v>
      </c>
      <c r="D76" s="14" t="s">
        <v>16</v>
      </c>
      <c r="E76" s="14" t="s">
        <v>17</v>
      </c>
      <c r="F76" s="15" t="s">
        <v>62</v>
      </c>
      <c r="G76" s="16">
        <v>6</v>
      </c>
      <c r="H76" s="16">
        <v>74</v>
      </c>
      <c r="I76" s="17" t="s">
        <v>19</v>
      </c>
      <c r="J76" s="18">
        <v>45695</v>
      </c>
      <c r="K76" s="19">
        <v>0.98</v>
      </c>
      <c r="L76" s="20">
        <v>6395</v>
      </c>
      <c r="M76" s="14" t="s">
        <v>20</v>
      </c>
      <c r="N76" s="8" t="s">
        <v>95</v>
      </c>
      <c r="O76" s="8">
        <f>Tabla5[[#This Row],[TURNO]]</f>
        <v>6</v>
      </c>
      <c r="P76" s="8" t="str">
        <f>Tabla5[[#This Row],[MODULO]]</f>
        <v>M2</v>
      </c>
      <c r="Q76" s="8" t="str">
        <f>CONCATENATE(Tabla5[[#This Row],[MODULO]],"/T",Tabla5[[#This Row],[TURNO]])</f>
        <v>M2/T6</v>
      </c>
    </row>
    <row r="77" spans="3:17" s="21" customFormat="1" x14ac:dyDescent="0.3">
      <c r="C77" s="14" t="str">
        <f t="shared" si="1"/>
        <v>Q75</v>
      </c>
      <c r="D77" s="14" t="s">
        <v>16</v>
      </c>
      <c r="E77" s="14" t="s">
        <v>17</v>
      </c>
      <c r="F77" s="15" t="s">
        <v>62</v>
      </c>
      <c r="G77" s="16">
        <v>6</v>
      </c>
      <c r="H77" s="16">
        <v>75</v>
      </c>
      <c r="I77" s="17" t="s">
        <v>19</v>
      </c>
      <c r="J77" s="18">
        <v>45695</v>
      </c>
      <c r="K77" s="19">
        <v>0.98</v>
      </c>
      <c r="L77" s="20">
        <v>6396</v>
      </c>
      <c r="M77" s="14" t="s">
        <v>20</v>
      </c>
      <c r="N77" s="8" t="s">
        <v>96</v>
      </c>
      <c r="O77" s="8">
        <f>Tabla5[[#This Row],[TURNO]]</f>
        <v>6</v>
      </c>
      <c r="P77" s="8" t="str">
        <f>Tabla5[[#This Row],[MODULO]]</f>
        <v>M2</v>
      </c>
      <c r="Q77" s="8" t="str">
        <f>CONCATENATE(Tabla5[[#This Row],[MODULO]],"/T",Tabla5[[#This Row],[TURNO]])</f>
        <v>M2/T6</v>
      </c>
    </row>
    <row r="78" spans="3:17" s="21" customFormat="1" x14ac:dyDescent="0.3">
      <c r="C78" s="14" t="str">
        <f t="shared" si="1"/>
        <v>Q76</v>
      </c>
      <c r="D78" s="14" t="s">
        <v>16</v>
      </c>
      <c r="E78" s="14" t="s">
        <v>17</v>
      </c>
      <c r="F78" s="15" t="s">
        <v>62</v>
      </c>
      <c r="G78" s="16">
        <v>6</v>
      </c>
      <c r="H78" s="16">
        <v>76</v>
      </c>
      <c r="I78" s="17" t="s">
        <v>19</v>
      </c>
      <c r="J78" s="18">
        <v>45694</v>
      </c>
      <c r="K78" s="19">
        <v>0.98</v>
      </c>
      <c r="L78" s="20">
        <v>6396</v>
      </c>
      <c r="M78" s="14" t="s">
        <v>20</v>
      </c>
      <c r="N78" s="8" t="s">
        <v>97</v>
      </c>
      <c r="O78" s="8">
        <f>Tabla5[[#This Row],[TURNO]]</f>
        <v>6</v>
      </c>
      <c r="P78" s="8" t="str">
        <f>Tabla5[[#This Row],[MODULO]]</f>
        <v>M2</v>
      </c>
      <c r="Q78" s="8" t="str">
        <f>CONCATENATE(Tabla5[[#This Row],[MODULO]],"/T",Tabla5[[#This Row],[TURNO]])</f>
        <v>M2/T6</v>
      </c>
    </row>
    <row r="79" spans="3:17" s="21" customFormat="1" x14ac:dyDescent="0.3">
      <c r="C79" s="14" t="str">
        <f t="shared" si="1"/>
        <v>Q77</v>
      </c>
      <c r="D79" s="14" t="s">
        <v>16</v>
      </c>
      <c r="E79" s="14" t="s">
        <v>17</v>
      </c>
      <c r="F79" s="15" t="s">
        <v>62</v>
      </c>
      <c r="G79" s="16">
        <v>7</v>
      </c>
      <c r="H79" s="16">
        <v>77</v>
      </c>
      <c r="I79" s="17" t="s">
        <v>19</v>
      </c>
      <c r="J79" s="18">
        <v>45689</v>
      </c>
      <c r="K79" s="19">
        <v>0.98</v>
      </c>
      <c r="L79" s="20">
        <v>6394</v>
      </c>
      <c r="M79" s="14" t="s">
        <v>20</v>
      </c>
      <c r="N79" s="8" t="s">
        <v>98</v>
      </c>
      <c r="O79" s="8">
        <f>Tabla5[[#This Row],[TURNO]]</f>
        <v>7</v>
      </c>
      <c r="P79" s="8" t="str">
        <f>Tabla5[[#This Row],[MODULO]]</f>
        <v>M2</v>
      </c>
      <c r="Q79" s="8" t="str">
        <f>CONCATENATE(Tabla5[[#This Row],[MODULO]],"/T",Tabla5[[#This Row],[TURNO]])</f>
        <v>M2/T7</v>
      </c>
    </row>
    <row r="80" spans="3:17" s="21" customFormat="1" x14ac:dyDescent="0.3">
      <c r="C80" s="14" t="str">
        <f t="shared" si="1"/>
        <v>Q78</v>
      </c>
      <c r="D80" s="14" t="s">
        <v>16</v>
      </c>
      <c r="E80" s="14" t="s">
        <v>17</v>
      </c>
      <c r="F80" s="15" t="s">
        <v>62</v>
      </c>
      <c r="G80" s="16">
        <v>7</v>
      </c>
      <c r="H80" s="16">
        <v>78</v>
      </c>
      <c r="I80" s="17" t="s">
        <v>19</v>
      </c>
      <c r="J80" s="18">
        <v>45691</v>
      </c>
      <c r="K80" s="19">
        <v>0.98</v>
      </c>
      <c r="L80" s="20">
        <v>6394</v>
      </c>
      <c r="M80" s="14" t="s">
        <v>20</v>
      </c>
      <c r="N80" s="8" t="s">
        <v>99</v>
      </c>
      <c r="O80" s="8">
        <f>Tabla5[[#This Row],[TURNO]]</f>
        <v>7</v>
      </c>
      <c r="P80" s="8" t="str">
        <f>Tabla5[[#This Row],[MODULO]]</f>
        <v>M2</v>
      </c>
      <c r="Q80" s="8" t="str">
        <f>CONCATENATE(Tabla5[[#This Row],[MODULO]],"/T",Tabla5[[#This Row],[TURNO]])</f>
        <v>M2/T7</v>
      </c>
    </row>
    <row r="81" spans="3:17" s="21" customFormat="1" x14ac:dyDescent="0.3">
      <c r="C81" s="14" t="str">
        <f t="shared" si="1"/>
        <v>Q79</v>
      </c>
      <c r="D81" s="14" t="s">
        <v>16</v>
      </c>
      <c r="E81" s="14" t="s">
        <v>17</v>
      </c>
      <c r="F81" s="15" t="s">
        <v>62</v>
      </c>
      <c r="G81" s="16">
        <v>7</v>
      </c>
      <c r="H81" s="16">
        <v>79</v>
      </c>
      <c r="I81" s="17" t="s">
        <v>19</v>
      </c>
      <c r="J81" s="18">
        <v>45691</v>
      </c>
      <c r="K81" s="19">
        <v>0.98</v>
      </c>
      <c r="L81" s="20">
        <v>6396</v>
      </c>
      <c r="M81" s="14" t="s">
        <v>20</v>
      </c>
      <c r="N81" s="8" t="s">
        <v>100</v>
      </c>
      <c r="O81" s="8">
        <f>Tabla5[[#This Row],[TURNO]]</f>
        <v>7</v>
      </c>
      <c r="P81" s="8" t="str">
        <f>Tabla5[[#This Row],[MODULO]]</f>
        <v>M2</v>
      </c>
      <c r="Q81" s="8" t="str">
        <f>CONCATENATE(Tabla5[[#This Row],[MODULO]],"/T",Tabla5[[#This Row],[TURNO]])</f>
        <v>M2/T7</v>
      </c>
    </row>
    <row r="82" spans="3:17" s="21" customFormat="1" x14ac:dyDescent="0.3">
      <c r="C82" s="14" t="str">
        <f t="shared" si="1"/>
        <v>Q80</v>
      </c>
      <c r="D82" s="14" t="s">
        <v>16</v>
      </c>
      <c r="E82" s="14" t="s">
        <v>17</v>
      </c>
      <c r="F82" s="15" t="s">
        <v>62</v>
      </c>
      <c r="G82" s="16">
        <v>7</v>
      </c>
      <c r="H82" s="16">
        <v>80</v>
      </c>
      <c r="I82" s="17" t="s">
        <v>19</v>
      </c>
      <c r="J82" s="18">
        <v>45692</v>
      </c>
      <c r="K82" s="19">
        <v>0.97</v>
      </c>
      <c r="L82" s="20">
        <v>6395</v>
      </c>
      <c r="M82" s="14" t="s">
        <v>20</v>
      </c>
      <c r="N82" s="8" t="s">
        <v>101</v>
      </c>
      <c r="O82" s="8">
        <f>Tabla5[[#This Row],[TURNO]]</f>
        <v>7</v>
      </c>
      <c r="P82" s="8" t="str">
        <f>Tabla5[[#This Row],[MODULO]]</f>
        <v>M2</v>
      </c>
      <c r="Q82" s="8" t="str">
        <f>CONCATENATE(Tabla5[[#This Row],[MODULO]],"/T",Tabla5[[#This Row],[TURNO]])</f>
        <v>M2/T7</v>
      </c>
    </row>
    <row r="83" spans="3:17" s="21" customFormat="1" x14ac:dyDescent="0.3">
      <c r="C83" s="14" t="str">
        <f t="shared" si="1"/>
        <v>Q81</v>
      </c>
      <c r="D83" s="14" t="s">
        <v>16</v>
      </c>
      <c r="E83" s="14" t="s">
        <v>17</v>
      </c>
      <c r="F83" s="15" t="s">
        <v>62</v>
      </c>
      <c r="G83" s="16">
        <v>8</v>
      </c>
      <c r="H83" s="16">
        <v>81</v>
      </c>
      <c r="I83" s="17" t="s">
        <v>19</v>
      </c>
      <c r="J83" s="18">
        <v>45687</v>
      </c>
      <c r="K83" s="19">
        <v>0.68</v>
      </c>
      <c r="L83" s="20">
        <v>4510</v>
      </c>
      <c r="M83" s="14" t="s">
        <v>20</v>
      </c>
      <c r="N83" s="8" t="s">
        <v>102</v>
      </c>
      <c r="O83" s="8">
        <f>Tabla5[[#This Row],[TURNO]]</f>
        <v>8</v>
      </c>
      <c r="P83" s="8" t="str">
        <f>Tabla5[[#This Row],[MODULO]]</f>
        <v>M2</v>
      </c>
      <c r="Q83" s="8" t="str">
        <f>CONCATENATE(Tabla5[[#This Row],[MODULO]],"/T",Tabla5[[#This Row],[TURNO]])</f>
        <v>M2/T8</v>
      </c>
    </row>
    <row r="84" spans="3:17" s="21" customFormat="1" x14ac:dyDescent="0.3">
      <c r="C84" s="14" t="str">
        <f t="shared" si="1"/>
        <v>Q82</v>
      </c>
      <c r="D84" s="14" t="s">
        <v>16</v>
      </c>
      <c r="E84" s="14" t="s">
        <v>17</v>
      </c>
      <c r="F84" s="15" t="s">
        <v>62</v>
      </c>
      <c r="G84" s="16">
        <v>8</v>
      </c>
      <c r="H84" s="16">
        <v>82</v>
      </c>
      <c r="I84" s="17" t="s">
        <v>19</v>
      </c>
      <c r="J84" s="18">
        <v>45686</v>
      </c>
      <c r="K84" s="19">
        <v>0.68</v>
      </c>
      <c r="L84" s="20">
        <v>4656</v>
      </c>
      <c r="M84" s="14" t="s">
        <v>20</v>
      </c>
      <c r="N84" s="8" t="s">
        <v>103</v>
      </c>
      <c r="O84" s="8">
        <f>Tabla5[[#This Row],[TURNO]]</f>
        <v>8</v>
      </c>
      <c r="P84" s="8" t="str">
        <f>Tabla5[[#This Row],[MODULO]]</f>
        <v>M2</v>
      </c>
      <c r="Q84" s="8" t="str">
        <f>CONCATENATE(Tabla5[[#This Row],[MODULO]],"/T",Tabla5[[#This Row],[TURNO]])</f>
        <v>M2/T8</v>
      </c>
    </row>
    <row r="85" spans="3:17" s="21" customFormat="1" x14ac:dyDescent="0.3">
      <c r="C85" s="14" t="str">
        <f t="shared" si="1"/>
        <v>Q83</v>
      </c>
      <c r="D85" s="14" t="s">
        <v>16</v>
      </c>
      <c r="E85" s="14" t="s">
        <v>17</v>
      </c>
      <c r="F85" s="15" t="s">
        <v>62</v>
      </c>
      <c r="G85" s="16">
        <v>8</v>
      </c>
      <c r="H85" s="16">
        <v>83</v>
      </c>
      <c r="I85" s="17" t="s">
        <v>19</v>
      </c>
      <c r="J85" s="18">
        <v>45727</v>
      </c>
      <c r="K85" s="19">
        <v>0.71</v>
      </c>
      <c r="L85" s="20">
        <v>4784</v>
      </c>
      <c r="M85" s="14" t="s">
        <v>20</v>
      </c>
      <c r="N85" s="8" t="s">
        <v>104</v>
      </c>
      <c r="O85" s="8">
        <f>Tabla5[[#This Row],[TURNO]]</f>
        <v>8</v>
      </c>
      <c r="P85" s="8" t="str">
        <f>Tabla5[[#This Row],[MODULO]]</f>
        <v>M2</v>
      </c>
      <c r="Q85" s="8" t="str">
        <f>CONCATENATE(Tabla5[[#This Row],[MODULO]],"/T",Tabla5[[#This Row],[TURNO]])</f>
        <v>M2/T8</v>
      </c>
    </row>
    <row r="86" spans="3:17" s="21" customFormat="1" x14ac:dyDescent="0.3">
      <c r="C86" s="14" t="str">
        <f t="shared" si="1"/>
        <v>Q84</v>
      </c>
      <c r="D86" s="14" t="s">
        <v>16</v>
      </c>
      <c r="E86" s="14" t="s">
        <v>17</v>
      </c>
      <c r="F86" s="15" t="s">
        <v>62</v>
      </c>
      <c r="G86" s="16">
        <v>8</v>
      </c>
      <c r="H86" s="16">
        <v>84</v>
      </c>
      <c r="I86" s="17" t="s">
        <v>19</v>
      </c>
      <c r="J86" s="18">
        <v>45727</v>
      </c>
      <c r="K86" s="19">
        <v>0.64</v>
      </c>
      <c r="L86" s="20">
        <v>3951</v>
      </c>
      <c r="M86" s="14" t="s">
        <v>20</v>
      </c>
      <c r="N86" s="8" t="s">
        <v>105</v>
      </c>
      <c r="O86" s="8">
        <f>Tabla5[[#This Row],[TURNO]]</f>
        <v>8</v>
      </c>
      <c r="P86" s="8" t="str">
        <f>Tabla5[[#This Row],[MODULO]]</f>
        <v>M2</v>
      </c>
      <c r="Q86" s="8" t="str">
        <f>CONCATENATE(Tabla5[[#This Row],[MODULO]],"/T",Tabla5[[#This Row],[TURNO]])</f>
        <v>M2/T8</v>
      </c>
    </row>
    <row r="87" spans="3:17" s="21" customFormat="1" x14ac:dyDescent="0.3">
      <c r="C87" s="14" t="str">
        <f t="shared" si="1"/>
        <v>Q85</v>
      </c>
      <c r="D87" s="14" t="s">
        <v>16</v>
      </c>
      <c r="E87" s="14" t="s">
        <v>17</v>
      </c>
      <c r="F87" s="15" t="s">
        <v>62</v>
      </c>
      <c r="G87" s="16">
        <v>8</v>
      </c>
      <c r="H87" s="16">
        <v>85</v>
      </c>
      <c r="I87" s="17" t="s">
        <v>19</v>
      </c>
      <c r="J87" s="18">
        <v>45699</v>
      </c>
      <c r="K87" s="19">
        <v>1.02</v>
      </c>
      <c r="L87" s="20">
        <v>6743</v>
      </c>
      <c r="M87" s="14" t="s">
        <v>20</v>
      </c>
      <c r="N87" s="8" t="s">
        <v>106</v>
      </c>
      <c r="O87" s="8">
        <f>Tabla5[[#This Row],[TURNO]]</f>
        <v>8</v>
      </c>
      <c r="P87" s="8" t="str">
        <f>Tabla5[[#This Row],[MODULO]]</f>
        <v>M2</v>
      </c>
      <c r="Q87" s="8" t="str">
        <f>CONCATENATE(Tabla5[[#This Row],[MODULO]],"/T",Tabla5[[#This Row],[TURNO]])</f>
        <v>M2/T8</v>
      </c>
    </row>
    <row r="88" spans="3:17" s="21" customFormat="1" x14ac:dyDescent="0.3">
      <c r="C88" s="14" t="str">
        <f t="shared" si="1"/>
        <v>Q86</v>
      </c>
      <c r="D88" s="14" t="s">
        <v>16</v>
      </c>
      <c r="E88" s="14" t="s">
        <v>17</v>
      </c>
      <c r="F88" s="15" t="s">
        <v>62</v>
      </c>
      <c r="G88" s="16">
        <v>8</v>
      </c>
      <c r="H88" s="16">
        <v>86</v>
      </c>
      <c r="I88" s="17" t="s">
        <v>19</v>
      </c>
      <c r="J88" s="18">
        <v>45700</v>
      </c>
      <c r="K88" s="19">
        <v>1.07</v>
      </c>
      <c r="L88" s="20">
        <v>7120</v>
      </c>
      <c r="M88" s="14" t="s">
        <v>20</v>
      </c>
      <c r="N88" s="8" t="s">
        <v>107</v>
      </c>
      <c r="O88" s="8">
        <f>Tabla5[[#This Row],[TURNO]]</f>
        <v>8</v>
      </c>
      <c r="P88" s="8" t="str">
        <f>Tabla5[[#This Row],[MODULO]]</f>
        <v>M2</v>
      </c>
      <c r="Q88" s="8" t="str">
        <f>CONCATENATE(Tabla5[[#This Row],[MODULO]],"/T",Tabla5[[#This Row],[TURNO]])</f>
        <v>M2/T8</v>
      </c>
    </row>
    <row r="89" spans="3:17" s="21" customFormat="1" x14ac:dyDescent="0.3">
      <c r="C89" s="14" t="str">
        <f t="shared" si="1"/>
        <v>Q276</v>
      </c>
      <c r="D89" s="14" t="s">
        <v>16</v>
      </c>
      <c r="E89" s="14" t="s">
        <v>17</v>
      </c>
      <c r="F89" s="15" t="s">
        <v>62</v>
      </c>
      <c r="G89" s="16">
        <v>8</v>
      </c>
      <c r="H89" s="16">
        <v>276</v>
      </c>
      <c r="I89" s="17" t="s">
        <v>19</v>
      </c>
      <c r="J89" s="18">
        <v>45784</v>
      </c>
      <c r="K89" s="15">
        <v>0.53</v>
      </c>
      <c r="L89" s="20">
        <v>3461</v>
      </c>
      <c r="M89" s="14" t="s">
        <v>20</v>
      </c>
      <c r="N89" s="8" t="s">
        <v>108</v>
      </c>
      <c r="O89" s="8">
        <f>Tabla5[[#This Row],[TURNO]]</f>
        <v>8</v>
      </c>
      <c r="P89" s="8" t="str">
        <f>Tabla5[[#This Row],[MODULO]]</f>
        <v>M2</v>
      </c>
      <c r="Q89" s="8" t="str">
        <f>CONCATENATE(Tabla5[[#This Row],[MODULO]],"/T",Tabla5[[#This Row],[TURNO]])</f>
        <v>M2/T8</v>
      </c>
    </row>
    <row r="90" spans="3:17" s="21" customFormat="1" x14ac:dyDescent="0.3">
      <c r="C90" s="14" t="str">
        <f t="shared" si="1"/>
        <v>Q87</v>
      </c>
      <c r="D90" s="14" t="s">
        <v>16</v>
      </c>
      <c r="E90" s="14" t="s">
        <v>17</v>
      </c>
      <c r="F90" s="15" t="s">
        <v>62</v>
      </c>
      <c r="G90" s="16">
        <v>9</v>
      </c>
      <c r="H90" s="16">
        <v>87</v>
      </c>
      <c r="I90" s="17" t="s">
        <v>19</v>
      </c>
      <c r="J90" s="18">
        <v>45700</v>
      </c>
      <c r="K90" s="19">
        <v>0.97</v>
      </c>
      <c r="L90" s="20">
        <v>6395</v>
      </c>
      <c r="M90" s="14" t="s">
        <v>20</v>
      </c>
      <c r="N90" s="8" t="s">
        <v>109</v>
      </c>
      <c r="O90" s="8">
        <f>Tabla5[[#This Row],[TURNO]]</f>
        <v>9</v>
      </c>
      <c r="P90" s="8" t="str">
        <f>Tabla5[[#This Row],[MODULO]]</f>
        <v>M2</v>
      </c>
      <c r="Q90" s="8" t="str">
        <f>CONCATENATE(Tabla5[[#This Row],[MODULO]],"/T",Tabla5[[#This Row],[TURNO]])</f>
        <v>M2/T9</v>
      </c>
    </row>
    <row r="91" spans="3:17" s="21" customFormat="1" x14ac:dyDescent="0.3">
      <c r="C91" s="14" t="str">
        <f t="shared" si="1"/>
        <v>Q88</v>
      </c>
      <c r="D91" s="14" t="s">
        <v>16</v>
      </c>
      <c r="E91" s="14" t="s">
        <v>17</v>
      </c>
      <c r="F91" s="15" t="s">
        <v>62</v>
      </c>
      <c r="G91" s="16">
        <v>9</v>
      </c>
      <c r="H91" s="16">
        <v>88</v>
      </c>
      <c r="I91" s="17" t="s">
        <v>19</v>
      </c>
      <c r="J91" s="18">
        <v>45700</v>
      </c>
      <c r="K91" s="19">
        <v>0.98</v>
      </c>
      <c r="L91" s="20">
        <v>6396</v>
      </c>
      <c r="M91" s="14" t="s">
        <v>20</v>
      </c>
      <c r="N91" s="8" t="s">
        <v>110</v>
      </c>
      <c r="O91" s="8">
        <f>Tabla5[[#This Row],[TURNO]]</f>
        <v>9</v>
      </c>
      <c r="P91" s="8" t="str">
        <f>Tabla5[[#This Row],[MODULO]]</f>
        <v>M2</v>
      </c>
      <c r="Q91" s="8" t="str">
        <f>CONCATENATE(Tabla5[[#This Row],[MODULO]],"/T",Tabla5[[#This Row],[TURNO]])</f>
        <v>M2/T9</v>
      </c>
    </row>
    <row r="92" spans="3:17" s="21" customFormat="1" x14ac:dyDescent="0.3">
      <c r="C92" s="14" t="str">
        <f t="shared" si="1"/>
        <v>Q89</v>
      </c>
      <c r="D92" s="14" t="s">
        <v>16</v>
      </c>
      <c r="E92" s="14" t="s">
        <v>17</v>
      </c>
      <c r="F92" s="15" t="s">
        <v>62</v>
      </c>
      <c r="G92" s="16">
        <v>9</v>
      </c>
      <c r="H92" s="16">
        <v>89</v>
      </c>
      <c r="I92" s="17" t="s">
        <v>19</v>
      </c>
      <c r="J92" s="18">
        <v>45784</v>
      </c>
      <c r="K92" s="15">
        <v>0.98</v>
      </c>
      <c r="L92" s="20">
        <v>6351</v>
      </c>
      <c r="M92" s="14" t="s">
        <v>20</v>
      </c>
      <c r="N92" s="8" t="s">
        <v>111</v>
      </c>
      <c r="O92" s="8">
        <f>Tabla5[[#This Row],[TURNO]]</f>
        <v>9</v>
      </c>
      <c r="P92" s="8" t="str">
        <f>Tabla5[[#This Row],[MODULO]]</f>
        <v>M2</v>
      </c>
      <c r="Q92" s="8" t="str">
        <f>CONCATENATE(Tabla5[[#This Row],[MODULO]],"/T",Tabla5[[#This Row],[TURNO]])</f>
        <v>M2/T9</v>
      </c>
    </row>
    <row r="93" spans="3:17" s="21" customFormat="1" x14ac:dyDescent="0.3">
      <c r="C93" s="14" t="str">
        <f t="shared" si="1"/>
        <v>Q90</v>
      </c>
      <c r="D93" s="14" t="s">
        <v>16</v>
      </c>
      <c r="E93" s="14" t="s">
        <v>17</v>
      </c>
      <c r="F93" s="15" t="s">
        <v>62</v>
      </c>
      <c r="G93" s="16">
        <v>9</v>
      </c>
      <c r="H93" s="16">
        <v>90</v>
      </c>
      <c r="I93" s="17" t="s">
        <v>19</v>
      </c>
      <c r="J93" s="18">
        <v>45784</v>
      </c>
      <c r="K93" s="15">
        <v>0.89</v>
      </c>
      <c r="L93" s="20">
        <v>5165</v>
      </c>
      <c r="M93" s="14" t="s">
        <v>20</v>
      </c>
      <c r="N93" s="8" t="s">
        <v>112</v>
      </c>
      <c r="O93" s="8">
        <f>Tabla5[[#This Row],[TURNO]]</f>
        <v>9</v>
      </c>
      <c r="P93" s="8" t="str">
        <f>Tabla5[[#This Row],[MODULO]]</f>
        <v>M2</v>
      </c>
      <c r="Q93" s="8" t="str">
        <f>CONCATENATE(Tabla5[[#This Row],[MODULO]],"/T",Tabla5[[#This Row],[TURNO]])</f>
        <v>M2/T9</v>
      </c>
    </row>
    <row r="94" spans="3:17" x14ac:dyDescent="0.3">
      <c r="C94" s="8" t="str">
        <f t="shared" si="1"/>
        <v>Q95</v>
      </c>
      <c r="D94" s="8" t="s">
        <v>16</v>
      </c>
      <c r="E94" s="8" t="s">
        <v>17</v>
      </c>
      <c r="F94" s="22" t="s">
        <v>113</v>
      </c>
      <c r="G94" s="9">
        <v>1</v>
      </c>
      <c r="H94" s="9">
        <v>95</v>
      </c>
      <c r="I94" s="10" t="s">
        <v>19</v>
      </c>
      <c r="J94" s="23">
        <v>45715</v>
      </c>
      <c r="K94" s="24">
        <v>0.97</v>
      </c>
      <c r="L94" s="8">
        <v>6395</v>
      </c>
      <c r="M94" s="8" t="s">
        <v>20</v>
      </c>
      <c r="N94" s="8" t="s">
        <v>114</v>
      </c>
      <c r="O94" s="8">
        <f>Tabla5[[#This Row],[TURNO]]</f>
        <v>1</v>
      </c>
      <c r="P94" s="8" t="str">
        <f>Tabla5[[#This Row],[MODULO]]</f>
        <v>M3</v>
      </c>
      <c r="Q94" s="8" t="str">
        <f>CONCATENATE(Tabla5[[#This Row],[MODULO]],"/T",Tabla5[[#This Row],[TURNO]])</f>
        <v>M3/T1</v>
      </c>
    </row>
    <row r="95" spans="3:17" x14ac:dyDescent="0.3">
      <c r="C95" s="8" t="str">
        <f t="shared" si="1"/>
        <v>Q96</v>
      </c>
      <c r="D95" s="8" t="s">
        <v>16</v>
      </c>
      <c r="E95" s="8" t="s">
        <v>17</v>
      </c>
      <c r="F95" s="22" t="s">
        <v>113</v>
      </c>
      <c r="G95" s="9">
        <v>1</v>
      </c>
      <c r="H95" s="9">
        <v>96</v>
      </c>
      <c r="I95" s="10" t="s">
        <v>19</v>
      </c>
      <c r="J95" s="23">
        <v>45716</v>
      </c>
      <c r="K95" s="24">
        <f>0.98</f>
        <v>0.98</v>
      </c>
      <c r="L95" s="8">
        <v>6396</v>
      </c>
      <c r="M95" s="8" t="s">
        <v>20</v>
      </c>
      <c r="N95" s="8" t="s">
        <v>115</v>
      </c>
      <c r="O95" s="8">
        <f>Tabla5[[#This Row],[TURNO]]</f>
        <v>1</v>
      </c>
      <c r="P95" s="8" t="str">
        <f>Tabla5[[#This Row],[MODULO]]</f>
        <v>M3</v>
      </c>
      <c r="Q95" s="8" t="str">
        <f>CONCATENATE(Tabla5[[#This Row],[MODULO]],"/T",Tabla5[[#This Row],[TURNO]])</f>
        <v>M3/T1</v>
      </c>
    </row>
    <row r="96" spans="3:17" x14ac:dyDescent="0.3">
      <c r="C96" s="8" t="str">
        <f t="shared" si="1"/>
        <v>Q97</v>
      </c>
      <c r="D96" s="8" t="s">
        <v>16</v>
      </c>
      <c r="E96" s="8" t="s">
        <v>17</v>
      </c>
      <c r="F96" s="22" t="s">
        <v>113</v>
      </c>
      <c r="G96" s="9">
        <v>1</v>
      </c>
      <c r="H96" s="9">
        <v>97</v>
      </c>
      <c r="I96" s="10" t="s">
        <v>19</v>
      </c>
      <c r="J96" s="23">
        <v>45716</v>
      </c>
      <c r="K96" s="24">
        <v>0.98</v>
      </c>
      <c r="L96" s="8">
        <v>6402</v>
      </c>
      <c r="M96" s="8" t="s">
        <v>20</v>
      </c>
      <c r="N96" s="8" t="s">
        <v>116</v>
      </c>
      <c r="O96" s="8">
        <f>Tabla5[[#This Row],[TURNO]]</f>
        <v>1</v>
      </c>
      <c r="P96" s="8" t="str">
        <f>Tabla5[[#This Row],[MODULO]]</f>
        <v>M3</v>
      </c>
      <c r="Q96" s="8" t="str">
        <f>CONCATENATE(Tabla5[[#This Row],[MODULO]],"/T",Tabla5[[#This Row],[TURNO]])</f>
        <v>M3/T1</v>
      </c>
    </row>
    <row r="97" spans="3:17" x14ac:dyDescent="0.3">
      <c r="C97" s="8" t="str">
        <f t="shared" si="1"/>
        <v>Q98</v>
      </c>
      <c r="D97" s="8" t="s">
        <v>16</v>
      </c>
      <c r="E97" s="8" t="s">
        <v>17</v>
      </c>
      <c r="F97" s="22" t="s">
        <v>113</v>
      </c>
      <c r="G97" s="9">
        <v>1</v>
      </c>
      <c r="H97" s="9">
        <v>98</v>
      </c>
      <c r="I97" s="10" t="s">
        <v>19</v>
      </c>
      <c r="J97" s="23">
        <v>45716</v>
      </c>
      <c r="K97" s="24">
        <v>0.98</v>
      </c>
      <c r="L97" s="8">
        <v>6393</v>
      </c>
      <c r="M97" s="8" t="s">
        <v>20</v>
      </c>
      <c r="N97" s="8" t="s">
        <v>117</v>
      </c>
      <c r="O97" s="8">
        <f>Tabla5[[#This Row],[TURNO]]</f>
        <v>1</v>
      </c>
      <c r="P97" s="8" t="str">
        <f>Tabla5[[#This Row],[MODULO]]</f>
        <v>M3</v>
      </c>
      <c r="Q97" s="8" t="str">
        <f>CONCATENATE(Tabla5[[#This Row],[MODULO]],"/T",Tabla5[[#This Row],[TURNO]])</f>
        <v>M3/T1</v>
      </c>
    </row>
    <row r="98" spans="3:17" x14ac:dyDescent="0.3">
      <c r="C98" s="8" t="str">
        <f t="shared" si="1"/>
        <v>Q99</v>
      </c>
      <c r="D98" s="8" t="s">
        <v>16</v>
      </c>
      <c r="E98" s="8" t="s">
        <v>17</v>
      </c>
      <c r="F98" s="22" t="s">
        <v>113</v>
      </c>
      <c r="G98" s="9">
        <v>2</v>
      </c>
      <c r="H98" s="9">
        <v>99</v>
      </c>
      <c r="I98" s="10" t="s">
        <v>19</v>
      </c>
      <c r="J98" s="23">
        <v>45715</v>
      </c>
      <c r="K98" s="24">
        <v>0.98</v>
      </c>
      <c r="L98" s="8">
        <v>6396</v>
      </c>
      <c r="M98" s="8" t="s">
        <v>20</v>
      </c>
      <c r="N98" s="8" t="s">
        <v>118</v>
      </c>
      <c r="O98" s="8">
        <f>Tabla5[[#This Row],[TURNO]]</f>
        <v>2</v>
      </c>
      <c r="P98" s="8" t="str">
        <f>Tabla5[[#This Row],[MODULO]]</f>
        <v>M3</v>
      </c>
      <c r="Q98" s="8" t="str">
        <f>CONCATENATE(Tabla5[[#This Row],[MODULO]],"/T",Tabla5[[#This Row],[TURNO]])</f>
        <v>M3/T2</v>
      </c>
    </row>
    <row r="99" spans="3:17" x14ac:dyDescent="0.3">
      <c r="C99" s="8" t="str">
        <f t="shared" si="1"/>
        <v>Q100</v>
      </c>
      <c r="D99" s="8" t="s">
        <v>16</v>
      </c>
      <c r="E99" s="8" t="s">
        <v>17</v>
      </c>
      <c r="F99" s="22" t="s">
        <v>113</v>
      </c>
      <c r="G99" s="9">
        <v>2</v>
      </c>
      <c r="H99" s="9">
        <v>100</v>
      </c>
      <c r="I99" s="10" t="s">
        <v>19</v>
      </c>
      <c r="J99" s="23">
        <v>45715</v>
      </c>
      <c r="K99" s="24">
        <v>0.98</v>
      </c>
      <c r="L99" s="8">
        <v>6394</v>
      </c>
      <c r="M99" s="8" t="s">
        <v>20</v>
      </c>
      <c r="N99" s="8" t="s">
        <v>119</v>
      </c>
      <c r="O99" s="8">
        <f>Tabla5[[#This Row],[TURNO]]</f>
        <v>2</v>
      </c>
      <c r="P99" s="8" t="str">
        <f>Tabla5[[#This Row],[MODULO]]</f>
        <v>M3</v>
      </c>
      <c r="Q99" s="8" t="str">
        <f>CONCATENATE(Tabla5[[#This Row],[MODULO]],"/T",Tabla5[[#This Row],[TURNO]])</f>
        <v>M3/T2</v>
      </c>
    </row>
    <row r="100" spans="3:17" x14ac:dyDescent="0.3">
      <c r="C100" s="8" t="str">
        <f t="shared" si="1"/>
        <v>Q101</v>
      </c>
      <c r="D100" s="8" t="s">
        <v>16</v>
      </c>
      <c r="E100" s="8" t="s">
        <v>17</v>
      </c>
      <c r="F100" s="22" t="s">
        <v>113</v>
      </c>
      <c r="G100" s="9">
        <v>2</v>
      </c>
      <c r="H100" s="9">
        <v>101</v>
      </c>
      <c r="I100" s="10" t="s">
        <v>19</v>
      </c>
      <c r="J100" s="23">
        <v>45702</v>
      </c>
      <c r="K100" s="24">
        <v>0.98</v>
      </c>
      <c r="L100" s="8">
        <v>6394</v>
      </c>
      <c r="M100" s="8" t="s">
        <v>20</v>
      </c>
      <c r="N100" s="8" t="s">
        <v>120</v>
      </c>
      <c r="O100" s="8">
        <f>Tabla5[[#This Row],[TURNO]]</f>
        <v>2</v>
      </c>
      <c r="P100" s="8" t="str">
        <f>Tabla5[[#This Row],[MODULO]]</f>
        <v>M3</v>
      </c>
      <c r="Q100" s="8" t="str">
        <f>CONCATENATE(Tabla5[[#This Row],[MODULO]],"/T",Tabla5[[#This Row],[TURNO]])</f>
        <v>M3/T2</v>
      </c>
    </row>
    <row r="101" spans="3:17" x14ac:dyDescent="0.3">
      <c r="C101" s="8" t="str">
        <f t="shared" si="1"/>
        <v>Q102</v>
      </c>
      <c r="D101" s="8" t="s">
        <v>16</v>
      </c>
      <c r="E101" s="8" t="s">
        <v>17</v>
      </c>
      <c r="F101" s="22" t="s">
        <v>113</v>
      </c>
      <c r="G101" s="9">
        <v>2</v>
      </c>
      <c r="H101" s="9">
        <v>102</v>
      </c>
      <c r="I101" s="10" t="s">
        <v>19</v>
      </c>
      <c r="J101" s="23">
        <v>45702</v>
      </c>
      <c r="K101" s="24">
        <v>0.97</v>
      </c>
      <c r="L101" s="8">
        <v>6389</v>
      </c>
      <c r="M101" s="8" t="s">
        <v>20</v>
      </c>
      <c r="N101" s="8" t="s">
        <v>121</v>
      </c>
      <c r="O101" s="8">
        <f>Tabla5[[#This Row],[TURNO]]</f>
        <v>2</v>
      </c>
      <c r="P101" s="8" t="str">
        <f>Tabla5[[#This Row],[MODULO]]</f>
        <v>M3</v>
      </c>
      <c r="Q101" s="8" t="str">
        <f>CONCATENATE(Tabla5[[#This Row],[MODULO]],"/T",Tabla5[[#This Row],[TURNO]])</f>
        <v>M3/T2</v>
      </c>
    </row>
    <row r="102" spans="3:17" x14ac:dyDescent="0.3">
      <c r="C102" s="8" t="str">
        <f t="shared" si="1"/>
        <v>Q103</v>
      </c>
      <c r="D102" s="8" t="s">
        <v>16</v>
      </c>
      <c r="E102" s="8" t="s">
        <v>17</v>
      </c>
      <c r="F102" s="22" t="s">
        <v>113</v>
      </c>
      <c r="G102" s="9">
        <v>3</v>
      </c>
      <c r="H102" s="9">
        <v>103</v>
      </c>
      <c r="I102" s="10" t="s">
        <v>19</v>
      </c>
      <c r="J102" s="23">
        <v>45706</v>
      </c>
      <c r="K102" s="24">
        <v>0.97</v>
      </c>
      <c r="L102" s="8">
        <v>6395</v>
      </c>
      <c r="M102" s="8" t="s">
        <v>20</v>
      </c>
      <c r="N102" s="8" t="s">
        <v>122</v>
      </c>
      <c r="O102" s="8">
        <f>Tabla5[[#This Row],[TURNO]]</f>
        <v>3</v>
      </c>
      <c r="P102" s="8" t="str">
        <f>Tabla5[[#This Row],[MODULO]]</f>
        <v>M3</v>
      </c>
      <c r="Q102" s="8" t="str">
        <f>CONCATENATE(Tabla5[[#This Row],[MODULO]],"/T",Tabla5[[#This Row],[TURNO]])</f>
        <v>M3/T3</v>
      </c>
    </row>
    <row r="103" spans="3:17" x14ac:dyDescent="0.3">
      <c r="C103" s="8" t="str">
        <f>CONCATENATE(MID($D103,1,1),$H103)</f>
        <v>Q104</v>
      </c>
      <c r="D103" s="8" t="s">
        <v>16</v>
      </c>
      <c r="E103" s="8" t="s">
        <v>17</v>
      </c>
      <c r="F103" s="22" t="s">
        <v>113</v>
      </c>
      <c r="G103" s="9">
        <v>3</v>
      </c>
      <c r="H103" s="9">
        <v>104</v>
      </c>
      <c r="I103" s="10" t="s">
        <v>19</v>
      </c>
      <c r="J103" s="23">
        <v>45776</v>
      </c>
      <c r="K103" s="24">
        <v>0.98</v>
      </c>
      <c r="L103" s="8">
        <v>6349</v>
      </c>
      <c r="M103" s="8" t="s">
        <v>20</v>
      </c>
      <c r="N103" s="8" t="s">
        <v>123</v>
      </c>
      <c r="O103" s="8">
        <f>Tabla5[[#This Row],[TURNO]]</f>
        <v>3</v>
      </c>
      <c r="P103" s="8" t="str">
        <f>Tabla5[[#This Row],[MODULO]]</f>
        <v>M3</v>
      </c>
      <c r="Q103" s="8" t="str">
        <f>CONCATENATE(Tabla5[[#This Row],[MODULO]],"/T",Tabla5[[#This Row],[TURNO]])</f>
        <v>M3/T3</v>
      </c>
    </row>
    <row r="104" spans="3:17" x14ac:dyDescent="0.3">
      <c r="C104" s="8" t="str">
        <f t="shared" si="1"/>
        <v>Q105</v>
      </c>
      <c r="D104" s="8" t="s">
        <v>16</v>
      </c>
      <c r="E104" s="8" t="s">
        <v>17</v>
      </c>
      <c r="F104" s="22" t="s">
        <v>113</v>
      </c>
      <c r="G104" s="9">
        <v>3</v>
      </c>
      <c r="H104" s="9">
        <v>105</v>
      </c>
      <c r="I104" s="10" t="s">
        <v>19</v>
      </c>
      <c r="J104" s="23">
        <v>45702</v>
      </c>
      <c r="K104" s="24">
        <v>0.98</v>
      </c>
      <c r="L104" s="8">
        <v>6395</v>
      </c>
      <c r="M104" s="8" t="s">
        <v>20</v>
      </c>
      <c r="N104" s="8" t="s">
        <v>124</v>
      </c>
      <c r="O104" s="8">
        <f>Tabla5[[#This Row],[TURNO]]</f>
        <v>3</v>
      </c>
      <c r="P104" s="8" t="str">
        <f>Tabla5[[#This Row],[MODULO]]</f>
        <v>M3</v>
      </c>
      <c r="Q104" s="8" t="str">
        <f>CONCATENATE(Tabla5[[#This Row],[MODULO]],"/T",Tabla5[[#This Row],[TURNO]])</f>
        <v>M3/T3</v>
      </c>
    </row>
    <row r="105" spans="3:17" x14ac:dyDescent="0.3">
      <c r="C105" s="8" t="str">
        <f t="shared" si="1"/>
        <v>Q106</v>
      </c>
      <c r="D105" s="8" t="s">
        <v>16</v>
      </c>
      <c r="E105" s="8" t="s">
        <v>17</v>
      </c>
      <c r="F105" s="22" t="s">
        <v>113</v>
      </c>
      <c r="G105" s="9">
        <v>4</v>
      </c>
      <c r="H105" s="9">
        <v>106</v>
      </c>
      <c r="I105" s="10" t="s">
        <v>19</v>
      </c>
      <c r="J105" s="23">
        <v>45716</v>
      </c>
      <c r="K105" s="24">
        <v>0.98</v>
      </c>
      <c r="L105" s="8">
        <v>6394</v>
      </c>
      <c r="M105" s="8" t="s">
        <v>20</v>
      </c>
      <c r="N105" s="8" t="s">
        <v>125</v>
      </c>
      <c r="O105" s="8">
        <f>Tabla5[[#This Row],[TURNO]]</f>
        <v>4</v>
      </c>
      <c r="P105" s="8" t="str">
        <f>Tabla5[[#This Row],[MODULO]]</f>
        <v>M3</v>
      </c>
      <c r="Q105" s="8" t="str">
        <f>CONCATENATE(Tabla5[[#This Row],[MODULO]],"/T",Tabla5[[#This Row],[TURNO]])</f>
        <v>M3/T4</v>
      </c>
    </row>
    <row r="106" spans="3:17" x14ac:dyDescent="0.3">
      <c r="C106" s="8" t="str">
        <f t="shared" si="1"/>
        <v>Q107</v>
      </c>
      <c r="D106" s="8" t="s">
        <v>16</v>
      </c>
      <c r="E106" s="8" t="s">
        <v>17</v>
      </c>
      <c r="F106" s="22" t="s">
        <v>113</v>
      </c>
      <c r="G106" s="9">
        <v>4</v>
      </c>
      <c r="H106" s="9">
        <v>107</v>
      </c>
      <c r="I106" s="10" t="s">
        <v>19</v>
      </c>
      <c r="J106" s="23">
        <v>45716</v>
      </c>
      <c r="K106" s="24">
        <v>0.97</v>
      </c>
      <c r="L106" s="8">
        <v>6396</v>
      </c>
      <c r="M106" s="8" t="s">
        <v>20</v>
      </c>
      <c r="N106" s="8" t="s">
        <v>126</v>
      </c>
      <c r="O106" s="8">
        <f>Tabla5[[#This Row],[TURNO]]</f>
        <v>4</v>
      </c>
      <c r="P106" s="8" t="str">
        <f>Tabla5[[#This Row],[MODULO]]</f>
        <v>M3</v>
      </c>
      <c r="Q106" s="8" t="str">
        <f>CONCATENATE(Tabla5[[#This Row],[MODULO]],"/T",Tabla5[[#This Row],[TURNO]])</f>
        <v>M3/T4</v>
      </c>
    </row>
    <row r="107" spans="3:17" x14ac:dyDescent="0.3">
      <c r="C107" s="8" t="str">
        <f t="shared" si="1"/>
        <v>Q108</v>
      </c>
      <c r="D107" s="8" t="s">
        <v>16</v>
      </c>
      <c r="E107" s="8" t="s">
        <v>17</v>
      </c>
      <c r="F107" s="22" t="s">
        <v>113</v>
      </c>
      <c r="G107" s="9">
        <v>4</v>
      </c>
      <c r="H107" s="9">
        <v>108</v>
      </c>
      <c r="I107" s="10" t="s">
        <v>19</v>
      </c>
      <c r="J107" s="23">
        <v>45719</v>
      </c>
      <c r="K107" s="24">
        <v>0.98</v>
      </c>
      <c r="L107" s="8">
        <v>6395</v>
      </c>
      <c r="M107" s="8" t="s">
        <v>20</v>
      </c>
      <c r="N107" s="8" t="s">
        <v>127</v>
      </c>
      <c r="O107" s="8">
        <f>Tabla5[[#This Row],[TURNO]]</f>
        <v>4</v>
      </c>
      <c r="P107" s="8" t="str">
        <f>Tabla5[[#This Row],[MODULO]]</f>
        <v>M3</v>
      </c>
      <c r="Q107" s="8" t="str">
        <f>CONCATENATE(Tabla5[[#This Row],[MODULO]],"/T",Tabla5[[#This Row],[TURNO]])</f>
        <v>M3/T4</v>
      </c>
    </row>
    <row r="108" spans="3:17" x14ac:dyDescent="0.3">
      <c r="C108" s="8" t="str">
        <f t="shared" si="1"/>
        <v>Q109</v>
      </c>
      <c r="D108" s="8" t="s">
        <v>16</v>
      </c>
      <c r="E108" s="8" t="s">
        <v>17</v>
      </c>
      <c r="F108" s="22" t="s">
        <v>113</v>
      </c>
      <c r="G108" s="9">
        <v>5</v>
      </c>
      <c r="H108" s="9">
        <v>109</v>
      </c>
      <c r="I108" s="10" t="s">
        <v>19</v>
      </c>
      <c r="J108" s="23">
        <v>45734</v>
      </c>
      <c r="K108" s="24">
        <v>0.98</v>
      </c>
      <c r="L108" s="8">
        <v>6396</v>
      </c>
      <c r="M108" s="8" t="s">
        <v>20</v>
      </c>
      <c r="N108" s="8" t="s">
        <v>128</v>
      </c>
      <c r="O108" s="8">
        <f>Tabla5[[#This Row],[TURNO]]</f>
        <v>5</v>
      </c>
      <c r="P108" s="8" t="str">
        <f>Tabla5[[#This Row],[MODULO]]</f>
        <v>M3</v>
      </c>
      <c r="Q108" s="8" t="str">
        <f>CONCATENATE(Tabla5[[#This Row],[MODULO]],"/T",Tabla5[[#This Row],[TURNO]])</f>
        <v>M3/T5</v>
      </c>
    </row>
    <row r="109" spans="3:17" x14ac:dyDescent="0.3">
      <c r="C109" s="8" t="str">
        <f t="shared" si="1"/>
        <v>Q110</v>
      </c>
      <c r="D109" s="8" t="s">
        <v>16</v>
      </c>
      <c r="E109" s="8" t="s">
        <v>17</v>
      </c>
      <c r="F109" s="22" t="s">
        <v>113</v>
      </c>
      <c r="G109" s="9">
        <v>5</v>
      </c>
      <c r="H109" s="9">
        <v>110</v>
      </c>
      <c r="I109" s="10" t="s">
        <v>19</v>
      </c>
      <c r="J109" s="23">
        <v>45734</v>
      </c>
      <c r="K109" s="24">
        <v>0.98</v>
      </c>
      <c r="L109" s="8">
        <v>6388</v>
      </c>
      <c r="M109" s="8" t="s">
        <v>20</v>
      </c>
      <c r="N109" s="8" t="s">
        <v>129</v>
      </c>
      <c r="O109" s="8">
        <f>Tabla5[[#This Row],[TURNO]]</f>
        <v>5</v>
      </c>
      <c r="P109" s="8" t="str">
        <f>Tabla5[[#This Row],[MODULO]]</f>
        <v>M3</v>
      </c>
      <c r="Q109" s="8" t="str">
        <f>CONCATENATE(Tabla5[[#This Row],[MODULO]],"/T",Tabla5[[#This Row],[TURNO]])</f>
        <v>M3/T5</v>
      </c>
    </row>
    <row r="110" spans="3:17" x14ac:dyDescent="0.3">
      <c r="C110" s="8" t="str">
        <f t="shared" si="1"/>
        <v>Q111</v>
      </c>
      <c r="D110" s="8" t="s">
        <v>16</v>
      </c>
      <c r="E110" s="8" t="s">
        <v>17</v>
      </c>
      <c r="F110" s="22" t="s">
        <v>113</v>
      </c>
      <c r="G110" s="9">
        <v>5</v>
      </c>
      <c r="H110" s="9">
        <v>111</v>
      </c>
      <c r="I110" s="10" t="s">
        <v>19</v>
      </c>
      <c r="J110" s="23">
        <v>45735</v>
      </c>
      <c r="K110" s="24">
        <v>0.97</v>
      </c>
      <c r="L110" s="8">
        <v>6386</v>
      </c>
      <c r="M110" s="8" t="s">
        <v>20</v>
      </c>
      <c r="N110" s="8" t="s">
        <v>130</v>
      </c>
      <c r="O110" s="8">
        <f>Tabla5[[#This Row],[TURNO]]</f>
        <v>5</v>
      </c>
      <c r="P110" s="8" t="str">
        <f>Tabla5[[#This Row],[MODULO]]</f>
        <v>M3</v>
      </c>
      <c r="Q110" s="8" t="str">
        <f>CONCATENATE(Tabla5[[#This Row],[MODULO]],"/T",Tabla5[[#This Row],[TURNO]])</f>
        <v>M3/T5</v>
      </c>
    </row>
    <row r="111" spans="3:17" x14ac:dyDescent="0.3">
      <c r="C111" s="8" t="str">
        <f t="shared" si="1"/>
        <v>Q112</v>
      </c>
      <c r="D111" s="8" t="s">
        <v>16</v>
      </c>
      <c r="E111" s="8" t="s">
        <v>17</v>
      </c>
      <c r="F111" s="22" t="s">
        <v>113</v>
      </c>
      <c r="G111" s="9">
        <v>5</v>
      </c>
      <c r="H111" s="9">
        <v>112</v>
      </c>
      <c r="I111" s="10" t="s">
        <v>19</v>
      </c>
      <c r="J111" s="23">
        <v>45735</v>
      </c>
      <c r="K111" s="24">
        <v>0.98</v>
      </c>
      <c r="L111" s="8">
        <v>6389</v>
      </c>
      <c r="M111" s="8" t="s">
        <v>20</v>
      </c>
      <c r="N111" s="8" t="s">
        <v>131</v>
      </c>
      <c r="O111" s="8">
        <f>Tabla5[[#This Row],[TURNO]]</f>
        <v>5</v>
      </c>
      <c r="P111" s="8" t="str">
        <f>Tabla5[[#This Row],[MODULO]]</f>
        <v>M3</v>
      </c>
      <c r="Q111" s="8" t="str">
        <f>CONCATENATE(Tabla5[[#This Row],[MODULO]],"/T",Tabla5[[#This Row],[TURNO]])</f>
        <v>M3/T5</v>
      </c>
    </row>
    <row r="112" spans="3:17" x14ac:dyDescent="0.3">
      <c r="C112" s="8" t="str">
        <f t="shared" si="1"/>
        <v>Q113</v>
      </c>
      <c r="D112" s="8" t="s">
        <v>16</v>
      </c>
      <c r="E112" s="8" t="s">
        <v>17</v>
      </c>
      <c r="F112" s="22" t="s">
        <v>113</v>
      </c>
      <c r="G112" s="9">
        <v>6</v>
      </c>
      <c r="H112" s="9">
        <v>113</v>
      </c>
      <c r="I112" s="10" t="s">
        <v>19</v>
      </c>
      <c r="J112" s="23">
        <v>45719</v>
      </c>
      <c r="K112" s="24">
        <v>0.97</v>
      </c>
      <c r="L112" s="8">
        <v>6396</v>
      </c>
      <c r="M112" s="8" t="s">
        <v>20</v>
      </c>
      <c r="N112" s="8" t="s">
        <v>132</v>
      </c>
      <c r="O112" s="8">
        <f>Tabla5[[#This Row],[TURNO]]</f>
        <v>6</v>
      </c>
      <c r="P112" s="8" t="str">
        <f>Tabla5[[#This Row],[MODULO]]</f>
        <v>M3</v>
      </c>
      <c r="Q112" s="8" t="str">
        <f>CONCATENATE(Tabla5[[#This Row],[MODULO]],"/T",Tabla5[[#This Row],[TURNO]])</f>
        <v>M3/T6</v>
      </c>
    </row>
    <row r="113" spans="3:17" x14ac:dyDescent="0.3">
      <c r="C113" s="8" t="str">
        <f t="shared" si="1"/>
        <v>Q114</v>
      </c>
      <c r="D113" s="8" t="s">
        <v>16</v>
      </c>
      <c r="E113" s="8" t="s">
        <v>17</v>
      </c>
      <c r="F113" s="22" t="s">
        <v>113</v>
      </c>
      <c r="G113" s="9">
        <v>6</v>
      </c>
      <c r="H113" s="9">
        <v>114</v>
      </c>
      <c r="I113" s="10" t="s">
        <v>19</v>
      </c>
      <c r="J113" s="23">
        <v>45719</v>
      </c>
      <c r="K113" s="24">
        <v>0.98</v>
      </c>
      <c r="L113" s="8">
        <v>6393</v>
      </c>
      <c r="M113" s="8" t="s">
        <v>20</v>
      </c>
      <c r="N113" s="8" t="s">
        <v>133</v>
      </c>
      <c r="O113" s="8">
        <f>Tabla5[[#This Row],[TURNO]]</f>
        <v>6</v>
      </c>
      <c r="P113" s="8" t="str">
        <f>Tabla5[[#This Row],[MODULO]]</f>
        <v>M3</v>
      </c>
      <c r="Q113" s="8" t="str">
        <f>CONCATENATE(Tabla5[[#This Row],[MODULO]],"/T",Tabla5[[#This Row],[TURNO]])</f>
        <v>M3/T6</v>
      </c>
    </row>
    <row r="114" spans="3:17" x14ac:dyDescent="0.3">
      <c r="C114" s="8" t="str">
        <f t="shared" si="1"/>
        <v>Q115</v>
      </c>
      <c r="D114" s="8" t="s">
        <v>16</v>
      </c>
      <c r="E114" s="8" t="s">
        <v>17</v>
      </c>
      <c r="F114" s="22" t="s">
        <v>113</v>
      </c>
      <c r="G114" s="9">
        <v>6</v>
      </c>
      <c r="H114" s="9">
        <v>115</v>
      </c>
      <c r="I114" s="10" t="s">
        <v>19</v>
      </c>
      <c r="J114" s="23">
        <v>45728</v>
      </c>
      <c r="K114" s="24">
        <v>0.98</v>
      </c>
      <c r="L114" s="8">
        <v>6394</v>
      </c>
      <c r="M114" s="8" t="s">
        <v>20</v>
      </c>
      <c r="N114" s="8" t="s">
        <v>134</v>
      </c>
      <c r="O114" s="8">
        <f>Tabla5[[#This Row],[TURNO]]</f>
        <v>6</v>
      </c>
      <c r="P114" s="8" t="str">
        <f>Tabla5[[#This Row],[MODULO]]</f>
        <v>M3</v>
      </c>
      <c r="Q114" s="8" t="str">
        <f>CONCATENATE(Tabla5[[#This Row],[MODULO]],"/T",Tabla5[[#This Row],[TURNO]])</f>
        <v>M3/T6</v>
      </c>
    </row>
    <row r="115" spans="3:17" x14ac:dyDescent="0.3">
      <c r="C115" s="8" t="str">
        <f t="shared" si="1"/>
        <v>Q116</v>
      </c>
      <c r="D115" s="8" t="s">
        <v>16</v>
      </c>
      <c r="E115" s="8" t="s">
        <v>17</v>
      </c>
      <c r="F115" s="22" t="s">
        <v>113</v>
      </c>
      <c r="G115" s="9">
        <v>6</v>
      </c>
      <c r="H115" s="9">
        <v>116</v>
      </c>
      <c r="I115" s="10" t="s">
        <v>19</v>
      </c>
      <c r="J115" s="23">
        <v>45733</v>
      </c>
      <c r="K115" s="24">
        <v>0.98</v>
      </c>
      <c r="L115" s="8">
        <v>6374</v>
      </c>
      <c r="M115" s="8" t="s">
        <v>20</v>
      </c>
      <c r="N115" s="8" t="s">
        <v>135</v>
      </c>
      <c r="O115" s="8">
        <f>Tabla5[[#This Row],[TURNO]]</f>
        <v>6</v>
      </c>
      <c r="P115" s="8" t="str">
        <f>Tabla5[[#This Row],[MODULO]]</f>
        <v>M3</v>
      </c>
      <c r="Q115" s="8" t="str">
        <f>CONCATENATE(Tabla5[[#This Row],[MODULO]],"/T",Tabla5[[#This Row],[TURNO]])</f>
        <v>M3/T6</v>
      </c>
    </row>
    <row r="116" spans="3:17" x14ac:dyDescent="0.3">
      <c r="C116" s="8" t="str">
        <f t="shared" si="1"/>
        <v>Q117</v>
      </c>
      <c r="D116" s="8" t="s">
        <v>16</v>
      </c>
      <c r="E116" s="8" t="s">
        <v>17</v>
      </c>
      <c r="F116" s="22" t="s">
        <v>113</v>
      </c>
      <c r="G116" s="9">
        <v>6</v>
      </c>
      <c r="H116" s="9">
        <v>117</v>
      </c>
      <c r="I116" s="10" t="s">
        <v>19</v>
      </c>
      <c r="J116" s="23">
        <v>45735</v>
      </c>
      <c r="K116" s="24">
        <v>0.97</v>
      </c>
      <c r="L116" s="8">
        <v>6382</v>
      </c>
      <c r="M116" s="8" t="s">
        <v>20</v>
      </c>
      <c r="N116" s="8" t="s">
        <v>136</v>
      </c>
      <c r="O116" s="8">
        <f>Tabla5[[#This Row],[TURNO]]</f>
        <v>6</v>
      </c>
      <c r="P116" s="8" t="str">
        <f>Tabla5[[#This Row],[MODULO]]</f>
        <v>M3</v>
      </c>
      <c r="Q116" s="8" t="str">
        <f>CONCATENATE(Tabla5[[#This Row],[MODULO]],"/T",Tabla5[[#This Row],[TURNO]])</f>
        <v>M3/T6</v>
      </c>
    </row>
    <row r="117" spans="3:17" x14ac:dyDescent="0.3">
      <c r="C117" s="8" t="str">
        <f t="shared" si="1"/>
        <v>Q118</v>
      </c>
      <c r="D117" s="8" t="s">
        <v>16</v>
      </c>
      <c r="E117" s="8" t="s">
        <v>17</v>
      </c>
      <c r="F117" s="22" t="s">
        <v>113</v>
      </c>
      <c r="G117" s="9">
        <v>7</v>
      </c>
      <c r="H117" s="9">
        <v>118</v>
      </c>
      <c r="I117" s="10" t="s">
        <v>19</v>
      </c>
      <c r="J117" s="23">
        <v>45720</v>
      </c>
      <c r="K117" s="13">
        <v>0.92999999999999994</v>
      </c>
      <c r="L117" s="8">
        <v>6393</v>
      </c>
      <c r="M117" s="8" t="s">
        <v>20</v>
      </c>
      <c r="N117" s="8" t="s">
        <v>137</v>
      </c>
      <c r="O117" s="8">
        <f>Tabla5[[#This Row],[TURNO]]</f>
        <v>7</v>
      </c>
      <c r="P117" s="8" t="str">
        <f>Tabla5[[#This Row],[MODULO]]</f>
        <v>M3</v>
      </c>
      <c r="Q117" s="8" t="str">
        <f>CONCATENATE(Tabla5[[#This Row],[MODULO]],"/T",Tabla5[[#This Row],[TURNO]])</f>
        <v>M3/T7</v>
      </c>
    </row>
    <row r="118" spans="3:17" x14ac:dyDescent="0.3">
      <c r="C118" s="8" t="str">
        <f t="shared" si="1"/>
        <v>Q119</v>
      </c>
      <c r="D118" s="8" t="s">
        <v>16</v>
      </c>
      <c r="E118" s="8" t="s">
        <v>17</v>
      </c>
      <c r="F118" s="22" t="s">
        <v>113</v>
      </c>
      <c r="G118" s="9">
        <v>7</v>
      </c>
      <c r="H118" s="9">
        <v>119</v>
      </c>
      <c r="I118" s="10" t="s">
        <v>19</v>
      </c>
      <c r="J118" s="23">
        <v>45720</v>
      </c>
      <c r="K118" s="13">
        <v>0.98</v>
      </c>
      <c r="L118" s="8">
        <v>6395</v>
      </c>
      <c r="M118" s="8" t="s">
        <v>20</v>
      </c>
      <c r="N118" s="8" t="s">
        <v>138</v>
      </c>
      <c r="O118" s="8">
        <f>Tabla5[[#This Row],[TURNO]]</f>
        <v>7</v>
      </c>
      <c r="P118" s="8" t="str">
        <f>Tabla5[[#This Row],[MODULO]]</f>
        <v>M3</v>
      </c>
      <c r="Q118" s="8" t="str">
        <f>CONCATENATE(Tabla5[[#This Row],[MODULO]],"/T",Tabla5[[#This Row],[TURNO]])</f>
        <v>M3/T7</v>
      </c>
    </row>
    <row r="119" spans="3:17" x14ac:dyDescent="0.3">
      <c r="C119" s="8" t="str">
        <f t="shared" si="1"/>
        <v>Q120</v>
      </c>
      <c r="D119" s="8" t="s">
        <v>16</v>
      </c>
      <c r="E119" s="8" t="s">
        <v>17</v>
      </c>
      <c r="F119" s="22" t="s">
        <v>113</v>
      </c>
      <c r="G119" s="9">
        <v>7</v>
      </c>
      <c r="H119" s="9">
        <v>120</v>
      </c>
      <c r="I119" s="10" t="s">
        <v>19</v>
      </c>
      <c r="J119" s="23">
        <v>45728</v>
      </c>
      <c r="K119" s="24">
        <v>0.98</v>
      </c>
      <c r="L119" s="8">
        <v>6393</v>
      </c>
      <c r="M119" s="8" t="s">
        <v>20</v>
      </c>
      <c r="N119" s="8" t="s">
        <v>139</v>
      </c>
      <c r="O119" s="8">
        <f>Tabla5[[#This Row],[TURNO]]</f>
        <v>7</v>
      </c>
      <c r="P119" s="8" t="str">
        <f>Tabla5[[#This Row],[MODULO]]</f>
        <v>M3</v>
      </c>
      <c r="Q119" s="8" t="str">
        <f>CONCATENATE(Tabla5[[#This Row],[MODULO]],"/T",Tabla5[[#This Row],[TURNO]])</f>
        <v>M3/T7</v>
      </c>
    </row>
    <row r="120" spans="3:17" x14ac:dyDescent="0.3">
      <c r="C120" s="8" t="str">
        <f t="shared" si="1"/>
        <v>Q121</v>
      </c>
      <c r="D120" s="8" t="s">
        <v>16</v>
      </c>
      <c r="E120" s="8" t="s">
        <v>17</v>
      </c>
      <c r="F120" s="22" t="s">
        <v>113</v>
      </c>
      <c r="G120" s="9">
        <v>7</v>
      </c>
      <c r="H120" s="9">
        <v>121</v>
      </c>
      <c r="I120" s="10" t="s">
        <v>19</v>
      </c>
      <c r="J120" s="23">
        <v>45729</v>
      </c>
      <c r="K120" s="24">
        <v>0.98</v>
      </c>
      <c r="L120" s="8">
        <v>6393</v>
      </c>
      <c r="M120" s="8" t="s">
        <v>20</v>
      </c>
      <c r="N120" s="8" t="s">
        <v>140</v>
      </c>
      <c r="O120" s="8">
        <f>Tabla5[[#This Row],[TURNO]]</f>
        <v>7</v>
      </c>
      <c r="P120" s="8" t="str">
        <f>Tabla5[[#This Row],[MODULO]]</f>
        <v>M3</v>
      </c>
      <c r="Q120" s="8" t="str">
        <f>CONCATENATE(Tabla5[[#This Row],[MODULO]],"/T",Tabla5[[#This Row],[TURNO]])</f>
        <v>M3/T7</v>
      </c>
    </row>
    <row r="121" spans="3:17" x14ac:dyDescent="0.3">
      <c r="C121" s="8" t="str">
        <f t="shared" si="1"/>
        <v>Q122</v>
      </c>
      <c r="D121" s="8" t="s">
        <v>16</v>
      </c>
      <c r="E121" s="8" t="s">
        <v>17</v>
      </c>
      <c r="F121" s="22" t="s">
        <v>113</v>
      </c>
      <c r="G121" s="9">
        <v>7</v>
      </c>
      <c r="H121" s="9">
        <v>122</v>
      </c>
      <c r="I121" s="10" t="s">
        <v>19</v>
      </c>
      <c r="J121" s="23">
        <v>45735</v>
      </c>
      <c r="K121" s="24">
        <v>0.97</v>
      </c>
      <c r="L121" s="8">
        <v>6391</v>
      </c>
      <c r="M121" s="8" t="s">
        <v>20</v>
      </c>
      <c r="N121" s="8" t="s">
        <v>141</v>
      </c>
      <c r="O121" s="8">
        <f>Tabla5[[#This Row],[TURNO]]</f>
        <v>7</v>
      </c>
      <c r="P121" s="8" t="str">
        <f>Tabla5[[#This Row],[MODULO]]</f>
        <v>M3</v>
      </c>
      <c r="Q121" s="8" t="str">
        <f>CONCATENATE(Tabla5[[#This Row],[MODULO]],"/T",Tabla5[[#This Row],[TURNO]])</f>
        <v>M3/T7</v>
      </c>
    </row>
    <row r="122" spans="3:17" x14ac:dyDescent="0.3">
      <c r="C122" s="8" t="str">
        <f t="shared" si="1"/>
        <v>Q123</v>
      </c>
      <c r="D122" s="8" t="s">
        <v>16</v>
      </c>
      <c r="E122" s="8" t="s">
        <v>17</v>
      </c>
      <c r="F122" s="22" t="s">
        <v>113</v>
      </c>
      <c r="G122" s="9">
        <v>8</v>
      </c>
      <c r="H122" s="9">
        <v>123</v>
      </c>
      <c r="I122" s="10" t="s">
        <v>19</v>
      </c>
      <c r="J122" s="23">
        <v>45735</v>
      </c>
      <c r="K122" s="24">
        <v>0.98</v>
      </c>
      <c r="L122" s="8">
        <v>6422</v>
      </c>
      <c r="M122" s="8" t="s">
        <v>20</v>
      </c>
      <c r="N122" s="8" t="s">
        <v>142</v>
      </c>
      <c r="O122" s="8">
        <f>Tabla5[[#This Row],[TURNO]]</f>
        <v>8</v>
      </c>
      <c r="P122" s="8" t="str">
        <f>Tabla5[[#This Row],[MODULO]]</f>
        <v>M3</v>
      </c>
      <c r="Q122" s="8" t="str">
        <f>CONCATENATE(Tabla5[[#This Row],[MODULO]],"/T",Tabla5[[#This Row],[TURNO]])</f>
        <v>M3/T8</v>
      </c>
    </row>
    <row r="123" spans="3:17" x14ac:dyDescent="0.3">
      <c r="C123" s="8" t="str">
        <f t="shared" si="1"/>
        <v>Q124</v>
      </c>
      <c r="D123" s="8" t="s">
        <v>16</v>
      </c>
      <c r="E123" s="8" t="s">
        <v>17</v>
      </c>
      <c r="F123" s="22" t="s">
        <v>113</v>
      </c>
      <c r="G123" s="9">
        <v>8</v>
      </c>
      <c r="H123" s="9">
        <v>124</v>
      </c>
      <c r="I123" s="10" t="s">
        <v>19</v>
      </c>
      <c r="J123" s="23">
        <v>45736</v>
      </c>
      <c r="K123" s="24">
        <v>0.97</v>
      </c>
      <c r="L123" s="8">
        <v>6394</v>
      </c>
      <c r="M123" s="8" t="s">
        <v>20</v>
      </c>
      <c r="N123" s="8" t="s">
        <v>143</v>
      </c>
      <c r="O123" s="8">
        <f>Tabla5[[#This Row],[TURNO]]</f>
        <v>8</v>
      </c>
      <c r="P123" s="8" t="str">
        <f>Tabla5[[#This Row],[MODULO]]</f>
        <v>M3</v>
      </c>
      <c r="Q123" s="8" t="str">
        <f>CONCATENATE(Tabla5[[#This Row],[MODULO]],"/T",Tabla5[[#This Row],[TURNO]])</f>
        <v>M3/T8</v>
      </c>
    </row>
    <row r="124" spans="3:17" x14ac:dyDescent="0.3">
      <c r="C124" s="8" t="str">
        <f t="shared" si="1"/>
        <v>Q125</v>
      </c>
      <c r="D124" s="8" t="s">
        <v>16</v>
      </c>
      <c r="E124" s="8" t="s">
        <v>17</v>
      </c>
      <c r="F124" s="22" t="s">
        <v>113</v>
      </c>
      <c r="G124" s="9">
        <v>8</v>
      </c>
      <c r="H124" s="9">
        <v>125</v>
      </c>
      <c r="I124" s="10" t="s">
        <v>19</v>
      </c>
      <c r="J124" s="23">
        <v>45736</v>
      </c>
      <c r="K124" s="24">
        <v>0.98</v>
      </c>
      <c r="L124" s="8">
        <v>6392</v>
      </c>
      <c r="M124" s="8" t="s">
        <v>20</v>
      </c>
      <c r="N124" s="8" t="s">
        <v>144</v>
      </c>
      <c r="O124" s="8">
        <f>Tabla5[[#This Row],[TURNO]]</f>
        <v>8</v>
      </c>
      <c r="P124" s="8" t="str">
        <f>Tabla5[[#This Row],[MODULO]]</f>
        <v>M3</v>
      </c>
      <c r="Q124" s="8" t="str">
        <f>CONCATENATE(Tabla5[[#This Row],[MODULO]],"/T",Tabla5[[#This Row],[TURNO]])</f>
        <v>M3/T8</v>
      </c>
    </row>
    <row r="125" spans="3:17" x14ac:dyDescent="0.3">
      <c r="C125" s="8" t="str">
        <f t="shared" si="1"/>
        <v>Q126</v>
      </c>
      <c r="D125" s="8" t="s">
        <v>16</v>
      </c>
      <c r="E125" s="8" t="s">
        <v>17</v>
      </c>
      <c r="F125" s="22" t="s">
        <v>113</v>
      </c>
      <c r="G125" s="9">
        <v>8</v>
      </c>
      <c r="H125" s="9">
        <v>126</v>
      </c>
      <c r="I125" s="10" t="s">
        <v>19</v>
      </c>
      <c r="J125" s="23">
        <v>45750</v>
      </c>
      <c r="K125" s="24">
        <v>0.98</v>
      </c>
      <c r="L125" s="8">
        <v>6392</v>
      </c>
      <c r="M125" s="8" t="s">
        <v>20</v>
      </c>
      <c r="N125" s="8" t="s">
        <v>145</v>
      </c>
      <c r="O125" s="8">
        <f>Tabla5[[#This Row],[TURNO]]</f>
        <v>8</v>
      </c>
      <c r="P125" s="8" t="str">
        <f>Tabla5[[#This Row],[MODULO]]</f>
        <v>M3</v>
      </c>
      <c r="Q125" s="8" t="str">
        <f>CONCATENATE(Tabla5[[#This Row],[MODULO]],"/T",Tabla5[[#This Row],[TURNO]])</f>
        <v>M3/T8</v>
      </c>
    </row>
    <row r="126" spans="3:17" x14ac:dyDescent="0.3">
      <c r="C126" s="8" t="str">
        <f t="shared" si="1"/>
        <v>Q127</v>
      </c>
      <c r="D126" s="8" t="s">
        <v>16</v>
      </c>
      <c r="E126" s="8" t="s">
        <v>17</v>
      </c>
      <c r="F126" s="22" t="s">
        <v>113</v>
      </c>
      <c r="G126" s="9">
        <v>8</v>
      </c>
      <c r="H126" s="9">
        <v>127</v>
      </c>
      <c r="I126" s="10" t="s">
        <v>19</v>
      </c>
      <c r="J126" s="23">
        <v>45750</v>
      </c>
      <c r="K126" s="24">
        <v>0.97</v>
      </c>
      <c r="L126" s="8">
        <v>6395</v>
      </c>
      <c r="M126" s="8" t="s">
        <v>20</v>
      </c>
      <c r="N126" s="8" t="s">
        <v>146</v>
      </c>
      <c r="O126" s="8">
        <f>Tabla5[[#This Row],[TURNO]]</f>
        <v>8</v>
      </c>
      <c r="P126" s="8" t="str">
        <f>Tabla5[[#This Row],[MODULO]]</f>
        <v>M3</v>
      </c>
      <c r="Q126" s="8" t="str">
        <f>CONCATENATE(Tabla5[[#This Row],[MODULO]],"/T",Tabla5[[#This Row],[TURNO]])</f>
        <v>M3/T8</v>
      </c>
    </row>
    <row r="127" spans="3:17" x14ac:dyDescent="0.3">
      <c r="C127" s="8" t="str">
        <f t="shared" si="1"/>
        <v>Q128</v>
      </c>
      <c r="D127" s="8" t="s">
        <v>16</v>
      </c>
      <c r="E127" s="8" t="s">
        <v>17</v>
      </c>
      <c r="F127" s="22" t="s">
        <v>113</v>
      </c>
      <c r="G127" s="9">
        <v>9</v>
      </c>
      <c r="H127" s="9">
        <v>128</v>
      </c>
      <c r="I127" s="10" t="s">
        <v>19</v>
      </c>
      <c r="J127" s="23">
        <v>45735</v>
      </c>
      <c r="K127" s="24">
        <v>0.98</v>
      </c>
      <c r="L127" s="8">
        <v>6379</v>
      </c>
      <c r="M127" s="8" t="s">
        <v>20</v>
      </c>
      <c r="N127" s="8" t="s">
        <v>147</v>
      </c>
      <c r="O127" s="8">
        <f>Tabla5[[#This Row],[TURNO]]</f>
        <v>9</v>
      </c>
      <c r="P127" s="8" t="str">
        <f>Tabla5[[#This Row],[MODULO]]</f>
        <v>M3</v>
      </c>
      <c r="Q127" s="8" t="str">
        <f>CONCATENATE(Tabla5[[#This Row],[MODULO]],"/T",Tabla5[[#This Row],[TURNO]])</f>
        <v>M3/T9</v>
      </c>
    </row>
    <row r="128" spans="3:17" x14ac:dyDescent="0.3">
      <c r="C128" s="8" t="str">
        <f t="shared" si="1"/>
        <v>Q129</v>
      </c>
      <c r="D128" s="8" t="s">
        <v>16</v>
      </c>
      <c r="E128" s="8" t="s">
        <v>17</v>
      </c>
      <c r="F128" s="22" t="s">
        <v>113</v>
      </c>
      <c r="G128" s="9">
        <v>9</v>
      </c>
      <c r="H128" s="9">
        <v>129</v>
      </c>
      <c r="I128" s="10" t="s">
        <v>19</v>
      </c>
      <c r="J128" s="23">
        <v>45736</v>
      </c>
      <c r="K128" s="24">
        <v>0.92</v>
      </c>
      <c r="L128" s="8">
        <v>6395</v>
      </c>
      <c r="M128" s="8" t="s">
        <v>20</v>
      </c>
      <c r="N128" s="8" t="s">
        <v>148</v>
      </c>
      <c r="O128" s="8">
        <f>Tabla5[[#This Row],[TURNO]]</f>
        <v>9</v>
      </c>
      <c r="P128" s="8" t="str">
        <f>Tabla5[[#This Row],[MODULO]]</f>
        <v>M3</v>
      </c>
      <c r="Q128" s="8" t="str">
        <f>CONCATENATE(Tabla5[[#This Row],[MODULO]],"/T",Tabla5[[#This Row],[TURNO]])</f>
        <v>M3/T9</v>
      </c>
    </row>
    <row r="129" spans="3:17" x14ac:dyDescent="0.3">
      <c r="C129" s="8" t="str">
        <f t="shared" si="1"/>
        <v>Q130</v>
      </c>
      <c r="D129" s="8" t="s">
        <v>16</v>
      </c>
      <c r="E129" s="8" t="s">
        <v>17</v>
      </c>
      <c r="F129" s="22" t="s">
        <v>113</v>
      </c>
      <c r="G129" s="9">
        <v>9</v>
      </c>
      <c r="H129" s="9">
        <v>130</v>
      </c>
      <c r="I129" s="10" t="s">
        <v>19</v>
      </c>
      <c r="J129" s="23">
        <v>45736</v>
      </c>
      <c r="K129" s="24">
        <v>0.98</v>
      </c>
      <c r="L129" s="8">
        <v>6392</v>
      </c>
      <c r="M129" s="8" t="s">
        <v>20</v>
      </c>
      <c r="N129" s="8" t="s">
        <v>149</v>
      </c>
      <c r="O129" s="8">
        <f>Tabla5[[#This Row],[TURNO]]</f>
        <v>9</v>
      </c>
      <c r="P129" s="8" t="str">
        <f>Tabla5[[#This Row],[MODULO]]</f>
        <v>M3</v>
      </c>
      <c r="Q129" s="8" t="str">
        <f>CONCATENATE(Tabla5[[#This Row],[MODULO]],"/T",Tabla5[[#This Row],[TURNO]])</f>
        <v>M3/T9</v>
      </c>
    </row>
    <row r="130" spans="3:17" x14ac:dyDescent="0.3">
      <c r="C130" s="8" t="str">
        <f t="shared" si="1"/>
        <v>Q131</v>
      </c>
      <c r="D130" s="8" t="s">
        <v>16</v>
      </c>
      <c r="E130" s="8" t="s">
        <v>17</v>
      </c>
      <c r="F130" s="22" t="s">
        <v>113</v>
      </c>
      <c r="G130" s="9">
        <v>9</v>
      </c>
      <c r="H130" s="9">
        <v>131</v>
      </c>
      <c r="I130" s="10" t="s">
        <v>19</v>
      </c>
      <c r="J130" s="23">
        <v>45744</v>
      </c>
      <c r="K130" s="24">
        <v>0.98</v>
      </c>
      <c r="L130" s="8">
        <v>6357</v>
      </c>
      <c r="M130" s="8" t="s">
        <v>20</v>
      </c>
      <c r="N130" s="8" t="s">
        <v>150</v>
      </c>
      <c r="O130" s="8">
        <f>Tabla5[[#This Row],[TURNO]]</f>
        <v>9</v>
      </c>
      <c r="P130" s="8" t="str">
        <f>Tabla5[[#This Row],[MODULO]]</f>
        <v>M3</v>
      </c>
      <c r="Q130" s="8" t="str">
        <f>CONCATENATE(Tabla5[[#This Row],[MODULO]],"/T",Tabla5[[#This Row],[TURNO]])</f>
        <v>M3/T9</v>
      </c>
    </row>
    <row r="131" spans="3:17" x14ac:dyDescent="0.3">
      <c r="C131" s="8" t="str">
        <f t="shared" ref="C131:C194" si="2">CONCATENATE(MID($D131,1,1),$H131)</f>
        <v>Q132</v>
      </c>
      <c r="D131" s="8" t="s">
        <v>16</v>
      </c>
      <c r="E131" s="8" t="s">
        <v>17</v>
      </c>
      <c r="F131" s="22" t="s">
        <v>113</v>
      </c>
      <c r="G131" s="9">
        <v>9</v>
      </c>
      <c r="H131" s="9">
        <v>132</v>
      </c>
      <c r="I131" s="10" t="s">
        <v>19</v>
      </c>
      <c r="J131" s="23">
        <v>45744</v>
      </c>
      <c r="K131" s="24">
        <v>0.97</v>
      </c>
      <c r="L131" s="8">
        <v>6396</v>
      </c>
      <c r="M131" s="8" t="s">
        <v>20</v>
      </c>
      <c r="N131" s="8" t="s">
        <v>151</v>
      </c>
      <c r="O131" s="8">
        <f>Tabla5[[#This Row],[TURNO]]</f>
        <v>9</v>
      </c>
      <c r="P131" s="8" t="str">
        <f>Tabla5[[#This Row],[MODULO]]</f>
        <v>M3</v>
      </c>
      <c r="Q131" s="8" t="str">
        <f>CONCATENATE(Tabla5[[#This Row],[MODULO]],"/T",Tabla5[[#This Row],[TURNO]])</f>
        <v>M3/T9</v>
      </c>
    </row>
    <row r="132" spans="3:17" x14ac:dyDescent="0.3">
      <c r="C132" s="8" t="str">
        <f t="shared" si="2"/>
        <v>Q133</v>
      </c>
      <c r="D132" s="8" t="s">
        <v>16</v>
      </c>
      <c r="E132" s="8" t="s">
        <v>17</v>
      </c>
      <c r="F132" s="22" t="s">
        <v>113</v>
      </c>
      <c r="G132" s="9">
        <v>10</v>
      </c>
      <c r="H132" s="9">
        <v>133</v>
      </c>
      <c r="I132" s="10" t="s">
        <v>19</v>
      </c>
      <c r="J132" s="23">
        <v>45776</v>
      </c>
      <c r="K132" s="9">
        <v>0.98</v>
      </c>
      <c r="L132" s="8">
        <v>6364</v>
      </c>
      <c r="M132" s="8" t="s">
        <v>20</v>
      </c>
      <c r="N132" s="8" t="s">
        <v>152</v>
      </c>
      <c r="O132" s="8">
        <f>Tabla5[[#This Row],[TURNO]]</f>
        <v>10</v>
      </c>
      <c r="P132" s="8" t="str">
        <f>Tabla5[[#This Row],[MODULO]]</f>
        <v>M3</v>
      </c>
      <c r="Q132" s="8" t="str">
        <f>CONCATENATE(Tabla5[[#This Row],[MODULO]],"/T",Tabla5[[#This Row],[TURNO]])</f>
        <v>M3/T10</v>
      </c>
    </row>
    <row r="133" spans="3:17" x14ac:dyDescent="0.3">
      <c r="C133" s="8" t="str">
        <f t="shared" si="2"/>
        <v>Q134</v>
      </c>
      <c r="D133" s="8" t="s">
        <v>16</v>
      </c>
      <c r="E133" s="8" t="s">
        <v>17</v>
      </c>
      <c r="F133" s="22" t="s">
        <v>113</v>
      </c>
      <c r="G133" s="9">
        <v>10</v>
      </c>
      <c r="H133" s="9">
        <v>134</v>
      </c>
      <c r="I133" s="10" t="s">
        <v>19</v>
      </c>
      <c r="J133" s="23">
        <v>45783</v>
      </c>
      <c r="K133" s="25">
        <v>0.98</v>
      </c>
      <c r="L133" s="8">
        <v>6394</v>
      </c>
      <c r="M133" s="8" t="s">
        <v>20</v>
      </c>
      <c r="N133" s="8" t="s">
        <v>153</v>
      </c>
      <c r="O133" s="8">
        <f>Tabla5[[#This Row],[TURNO]]</f>
        <v>10</v>
      </c>
      <c r="P133" s="8" t="str">
        <f>Tabla5[[#This Row],[MODULO]]</f>
        <v>M3</v>
      </c>
      <c r="Q133" s="8" t="str">
        <f>CONCATENATE(Tabla5[[#This Row],[MODULO]],"/T",Tabla5[[#This Row],[TURNO]])</f>
        <v>M3/T10</v>
      </c>
    </row>
    <row r="134" spans="3:17" x14ac:dyDescent="0.3">
      <c r="C134" s="8" t="str">
        <f t="shared" si="2"/>
        <v>Q135</v>
      </c>
      <c r="D134" s="8" t="s">
        <v>16</v>
      </c>
      <c r="E134" s="8" t="s">
        <v>17</v>
      </c>
      <c r="F134" s="22" t="s">
        <v>113</v>
      </c>
      <c r="G134" s="9">
        <v>10</v>
      </c>
      <c r="H134" s="9">
        <v>135</v>
      </c>
      <c r="I134" s="10" t="s">
        <v>19</v>
      </c>
      <c r="J134" s="23">
        <v>45736</v>
      </c>
      <c r="K134" s="24">
        <v>0.98</v>
      </c>
      <c r="L134" s="8">
        <v>6348</v>
      </c>
      <c r="M134" s="8" t="s">
        <v>20</v>
      </c>
      <c r="N134" s="8" t="s">
        <v>154</v>
      </c>
      <c r="O134" s="8">
        <f>Tabla5[[#This Row],[TURNO]]</f>
        <v>10</v>
      </c>
      <c r="P134" s="8" t="str">
        <f>Tabla5[[#This Row],[MODULO]]</f>
        <v>M3</v>
      </c>
      <c r="Q134" s="8" t="str">
        <f>CONCATENATE(Tabla5[[#This Row],[MODULO]],"/T",Tabla5[[#This Row],[TURNO]])</f>
        <v>M3/T10</v>
      </c>
    </row>
    <row r="135" spans="3:17" x14ac:dyDescent="0.3">
      <c r="C135" s="8" t="str">
        <f t="shared" si="2"/>
        <v>Q136</v>
      </c>
      <c r="D135" s="8" t="s">
        <v>16</v>
      </c>
      <c r="E135" s="8" t="s">
        <v>17</v>
      </c>
      <c r="F135" s="22" t="s">
        <v>113</v>
      </c>
      <c r="G135" s="9">
        <v>10</v>
      </c>
      <c r="H135" s="9">
        <v>136</v>
      </c>
      <c r="I135" s="10" t="s">
        <v>19</v>
      </c>
      <c r="J135" s="23">
        <v>45744</v>
      </c>
      <c r="K135" s="24">
        <v>0.97</v>
      </c>
      <c r="L135" s="8">
        <v>6348</v>
      </c>
      <c r="M135" s="8" t="s">
        <v>20</v>
      </c>
      <c r="N135" s="8" t="s">
        <v>155</v>
      </c>
      <c r="O135" s="8">
        <f>Tabla5[[#This Row],[TURNO]]</f>
        <v>10</v>
      </c>
      <c r="P135" s="8" t="str">
        <f>Tabla5[[#This Row],[MODULO]]</f>
        <v>M3</v>
      </c>
      <c r="Q135" s="8" t="str">
        <f>CONCATENATE(Tabla5[[#This Row],[MODULO]],"/T",Tabla5[[#This Row],[TURNO]])</f>
        <v>M3/T10</v>
      </c>
    </row>
    <row r="136" spans="3:17" x14ac:dyDescent="0.3">
      <c r="C136" s="8" t="str">
        <f t="shared" si="2"/>
        <v>Q137</v>
      </c>
      <c r="D136" s="8" t="s">
        <v>16</v>
      </c>
      <c r="E136" s="8" t="s">
        <v>17</v>
      </c>
      <c r="F136" s="22" t="s">
        <v>156</v>
      </c>
      <c r="G136" s="9">
        <v>1</v>
      </c>
      <c r="H136" s="9">
        <v>137</v>
      </c>
      <c r="I136" s="10" t="s">
        <v>19</v>
      </c>
      <c r="J136" s="11">
        <v>45763</v>
      </c>
      <c r="K136" s="13">
        <v>0.56000000000000005</v>
      </c>
      <c r="L136" s="12">
        <v>3586</v>
      </c>
      <c r="M136" s="8" t="s">
        <v>20</v>
      </c>
      <c r="N136" s="8" t="s">
        <v>157</v>
      </c>
      <c r="O136" s="8">
        <f>Tabla5[[#This Row],[TURNO]]</f>
        <v>1</v>
      </c>
      <c r="P136" s="8" t="str">
        <f>Tabla5[[#This Row],[MODULO]]</f>
        <v>M4</v>
      </c>
      <c r="Q136" s="8" t="str">
        <f>CONCATENATE(Tabla5[[#This Row],[MODULO]],"/T",Tabla5[[#This Row],[TURNO]])</f>
        <v>M4/T1</v>
      </c>
    </row>
    <row r="137" spans="3:17" x14ac:dyDescent="0.3">
      <c r="C137" s="8" t="str">
        <f t="shared" si="2"/>
        <v>Q138</v>
      </c>
      <c r="D137" s="8" t="s">
        <v>16</v>
      </c>
      <c r="E137" s="8" t="s">
        <v>17</v>
      </c>
      <c r="F137" s="22" t="s">
        <v>156</v>
      </c>
      <c r="G137" s="9">
        <v>1</v>
      </c>
      <c r="H137" s="9">
        <v>138</v>
      </c>
      <c r="I137" s="10" t="s">
        <v>19</v>
      </c>
      <c r="J137" s="11">
        <v>45762</v>
      </c>
      <c r="K137" s="13">
        <v>0.54</v>
      </c>
      <c r="L137" s="12">
        <v>3588</v>
      </c>
      <c r="M137" s="8" t="s">
        <v>20</v>
      </c>
      <c r="N137" s="8" t="s">
        <v>158</v>
      </c>
      <c r="O137" s="8">
        <f>Tabla5[[#This Row],[TURNO]]</f>
        <v>1</v>
      </c>
      <c r="P137" s="8" t="str">
        <f>Tabla5[[#This Row],[MODULO]]</f>
        <v>M4</v>
      </c>
      <c r="Q137" s="8" t="str">
        <f>CONCATENATE(Tabla5[[#This Row],[MODULO]],"/T",Tabla5[[#This Row],[TURNO]])</f>
        <v>M4/T1</v>
      </c>
    </row>
    <row r="138" spans="3:17" x14ac:dyDescent="0.3">
      <c r="C138" s="8" t="str">
        <f t="shared" si="2"/>
        <v>Q139</v>
      </c>
      <c r="D138" s="8" t="s">
        <v>16</v>
      </c>
      <c r="E138" s="8" t="s">
        <v>17</v>
      </c>
      <c r="F138" s="22" t="s">
        <v>156</v>
      </c>
      <c r="G138" s="9">
        <v>1</v>
      </c>
      <c r="H138" s="9">
        <v>139</v>
      </c>
      <c r="I138" s="10" t="s">
        <v>19</v>
      </c>
      <c r="J138" s="11">
        <v>45762</v>
      </c>
      <c r="K138" s="13">
        <v>0.76</v>
      </c>
      <c r="L138" s="12">
        <v>3920</v>
      </c>
      <c r="M138" s="8" t="s">
        <v>20</v>
      </c>
      <c r="N138" s="8" t="s">
        <v>159</v>
      </c>
      <c r="O138" s="8">
        <f>Tabla5[[#This Row],[TURNO]]</f>
        <v>1</v>
      </c>
      <c r="P138" s="8" t="str">
        <f>Tabla5[[#This Row],[MODULO]]</f>
        <v>M4</v>
      </c>
      <c r="Q138" s="8" t="str">
        <f>CONCATENATE(Tabla5[[#This Row],[MODULO]],"/T",Tabla5[[#This Row],[TURNO]])</f>
        <v>M4/T1</v>
      </c>
    </row>
    <row r="139" spans="3:17" x14ac:dyDescent="0.3">
      <c r="C139" s="8" t="str">
        <f t="shared" si="2"/>
        <v>Q140</v>
      </c>
      <c r="D139" s="8" t="s">
        <v>16</v>
      </c>
      <c r="E139" s="8" t="s">
        <v>17</v>
      </c>
      <c r="F139" s="22" t="s">
        <v>156</v>
      </c>
      <c r="G139" s="9">
        <v>1</v>
      </c>
      <c r="H139" s="9">
        <v>140</v>
      </c>
      <c r="I139" s="10" t="s">
        <v>19</v>
      </c>
      <c r="J139" s="11">
        <v>45769</v>
      </c>
      <c r="K139" s="9">
        <v>0.9</v>
      </c>
      <c r="L139" s="12">
        <v>5922</v>
      </c>
      <c r="M139" s="8" t="s">
        <v>20</v>
      </c>
      <c r="N139" s="8" t="s">
        <v>160</v>
      </c>
      <c r="O139" s="8">
        <f>Tabla5[[#This Row],[TURNO]]</f>
        <v>1</v>
      </c>
      <c r="P139" s="8" t="str">
        <f>Tabla5[[#This Row],[MODULO]]</f>
        <v>M4</v>
      </c>
      <c r="Q139" s="8" t="str">
        <f>CONCATENATE(Tabla5[[#This Row],[MODULO]],"/T",Tabla5[[#This Row],[TURNO]])</f>
        <v>M4/T1</v>
      </c>
    </row>
    <row r="140" spans="3:17" x14ac:dyDescent="0.3">
      <c r="C140" s="8" t="str">
        <f t="shared" si="2"/>
        <v>Q141</v>
      </c>
      <c r="D140" s="8" t="s">
        <v>16</v>
      </c>
      <c r="E140" s="8" t="s">
        <v>17</v>
      </c>
      <c r="F140" s="22" t="s">
        <v>156</v>
      </c>
      <c r="G140" s="9">
        <v>1</v>
      </c>
      <c r="H140" s="9">
        <v>141</v>
      </c>
      <c r="I140" s="10" t="s">
        <v>19</v>
      </c>
      <c r="J140" s="11">
        <v>45769</v>
      </c>
      <c r="K140" s="9">
        <v>1.1200000000000001</v>
      </c>
      <c r="L140" s="12">
        <v>7294</v>
      </c>
      <c r="M140" s="8" t="s">
        <v>20</v>
      </c>
      <c r="N140" s="8" t="s">
        <v>161</v>
      </c>
      <c r="O140" s="8">
        <f>Tabla5[[#This Row],[TURNO]]</f>
        <v>1</v>
      </c>
      <c r="P140" s="8" t="str">
        <f>Tabla5[[#This Row],[MODULO]]</f>
        <v>M4</v>
      </c>
      <c r="Q140" s="8" t="str">
        <f>CONCATENATE(Tabla5[[#This Row],[MODULO]],"/T",Tabla5[[#This Row],[TURNO]])</f>
        <v>M4/T1</v>
      </c>
    </row>
    <row r="141" spans="3:17" x14ac:dyDescent="0.3">
      <c r="C141" s="8" t="str">
        <f t="shared" si="2"/>
        <v>Q142</v>
      </c>
      <c r="D141" s="8" t="s">
        <v>16</v>
      </c>
      <c r="E141" s="8" t="s">
        <v>17</v>
      </c>
      <c r="F141" s="22" t="s">
        <v>156</v>
      </c>
      <c r="G141" s="9">
        <v>2</v>
      </c>
      <c r="H141" s="9">
        <v>142</v>
      </c>
      <c r="I141" s="10" t="s">
        <v>19</v>
      </c>
      <c r="J141" s="11">
        <v>45762</v>
      </c>
      <c r="K141" s="13">
        <v>0.98</v>
      </c>
      <c r="L141" s="12">
        <v>6321</v>
      </c>
      <c r="M141" s="8" t="s">
        <v>20</v>
      </c>
      <c r="N141" s="8" t="s">
        <v>162</v>
      </c>
      <c r="O141" s="8">
        <f>Tabla5[[#This Row],[TURNO]]</f>
        <v>2</v>
      </c>
      <c r="P141" s="8" t="str">
        <f>Tabla5[[#This Row],[MODULO]]</f>
        <v>M4</v>
      </c>
      <c r="Q141" s="8" t="str">
        <f>CONCATENATE(Tabla5[[#This Row],[MODULO]],"/T",Tabla5[[#This Row],[TURNO]])</f>
        <v>M4/T2</v>
      </c>
    </row>
    <row r="142" spans="3:17" x14ac:dyDescent="0.3">
      <c r="C142" s="8" t="str">
        <f t="shared" si="2"/>
        <v>Q143</v>
      </c>
      <c r="D142" s="8" t="s">
        <v>16</v>
      </c>
      <c r="E142" s="8" t="s">
        <v>17</v>
      </c>
      <c r="F142" s="22" t="s">
        <v>156</v>
      </c>
      <c r="G142" s="9">
        <v>2</v>
      </c>
      <c r="H142" s="9">
        <v>143</v>
      </c>
      <c r="I142" s="10" t="s">
        <v>19</v>
      </c>
      <c r="J142" s="11">
        <v>45762</v>
      </c>
      <c r="K142" s="13">
        <v>0.98</v>
      </c>
      <c r="L142" s="12">
        <v>6349</v>
      </c>
      <c r="M142" s="8" t="s">
        <v>20</v>
      </c>
      <c r="N142" s="8" t="s">
        <v>163</v>
      </c>
      <c r="O142" s="8">
        <f>Tabla5[[#This Row],[TURNO]]</f>
        <v>2</v>
      </c>
      <c r="P142" s="8" t="str">
        <f>Tabla5[[#This Row],[MODULO]]</f>
        <v>M4</v>
      </c>
      <c r="Q142" s="8" t="str">
        <f>CONCATENATE(Tabla5[[#This Row],[MODULO]],"/T",Tabla5[[#This Row],[TURNO]])</f>
        <v>M4/T2</v>
      </c>
    </row>
    <row r="143" spans="3:17" x14ac:dyDescent="0.3">
      <c r="C143" s="8" t="str">
        <f t="shared" si="2"/>
        <v>Q144</v>
      </c>
      <c r="D143" s="8" t="s">
        <v>16</v>
      </c>
      <c r="E143" s="8" t="s">
        <v>17</v>
      </c>
      <c r="F143" s="22" t="s">
        <v>156</v>
      </c>
      <c r="G143" s="9">
        <v>2</v>
      </c>
      <c r="H143" s="9">
        <v>144</v>
      </c>
      <c r="I143" s="10" t="s">
        <v>19</v>
      </c>
      <c r="J143" s="11">
        <v>45759</v>
      </c>
      <c r="K143" s="13">
        <v>0.98</v>
      </c>
      <c r="L143" s="12">
        <v>6379</v>
      </c>
      <c r="M143" s="8" t="s">
        <v>20</v>
      </c>
      <c r="N143" s="8" t="s">
        <v>164</v>
      </c>
      <c r="O143" s="8">
        <f>Tabla5[[#This Row],[TURNO]]</f>
        <v>2</v>
      </c>
      <c r="P143" s="8" t="str">
        <f>Tabla5[[#This Row],[MODULO]]</f>
        <v>M4</v>
      </c>
      <c r="Q143" s="8" t="str">
        <f>CONCATENATE(Tabla5[[#This Row],[MODULO]],"/T",Tabla5[[#This Row],[TURNO]])</f>
        <v>M4/T2</v>
      </c>
    </row>
    <row r="144" spans="3:17" x14ac:dyDescent="0.3">
      <c r="C144" s="8" t="str">
        <f t="shared" si="2"/>
        <v>Q145</v>
      </c>
      <c r="D144" s="8" t="s">
        <v>16</v>
      </c>
      <c r="E144" s="8" t="s">
        <v>17</v>
      </c>
      <c r="F144" s="22" t="s">
        <v>156</v>
      </c>
      <c r="G144" s="9">
        <v>2</v>
      </c>
      <c r="H144" s="9">
        <v>145</v>
      </c>
      <c r="I144" s="10" t="s">
        <v>19</v>
      </c>
      <c r="J144" s="11">
        <v>45759</v>
      </c>
      <c r="K144" s="13">
        <v>0.97</v>
      </c>
      <c r="L144" s="12">
        <v>6393</v>
      </c>
      <c r="M144" s="8" t="s">
        <v>20</v>
      </c>
      <c r="N144" s="8" t="s">
        <v>165</v>
      </c>
      <c r="O144" s="8">
        <f>Tabla5[[#This Row],[TURNO]]</f>
        <v>2</v>
      </c>
      <c r="P144" s="8" t="str">
        <f>Tabla5[[#This Row],[MODULO]]</f>
        <v>M4</v>
      </c>
      <c r="Q144" s="8" t="str">
        <f>CONCATENATE(Tabla5[[#This Row],[MODULO]],"/T",Tabla5[[#This Row],[TURNO]])</f>
        <v>M4/T2</v>
      </c>
    </row>
    <row r="145" spans="3:17" x14ac:dyDescent="0.3">
      <c r="C145" s="8" t="str">
        <f t="shared" si="2"/>
        <v>Q146</v>
      </c>
      <c r="D145" s="8" t="s">
        <v>16</v>
      </c>
      <c r="E145" s="8" t="s">
        <v>17</v>
      </c>
      <c r="F145" s="22" t="s">
        <v>156</v>
      </c>
      <c r="G145" s="9">
        <v>3</v>
      </c>
      <c r="H145" s="9">
        <v>146</v>
      </c>
      <c r="I145" s="10" t="s">
        <v>19</v>
      </c>
      <c r="J145" s="11">
        <v>45762</v>
      </c>
      <c r="K145" s="13">
        <v>0.98</v>
      </c>
      <c r="L145" s="12">
        <v>6311</v>
      </c>
      <c r="M145" s="8" t="s">
        <v>20</v>
      </c>
      <c r="N145" s="8" t="s">
        <v>166</v>
      </c>
      <c r="O145" s="8">
        <f>Tabla5[[#This Row],[TURNO]]</f>
        <v>3</v>
      </c>
      <c r="P145" s="8" t="str">
        <f>Tabla5[[#This Row],[MODULO]]</f>
        <v>M4</v>
      </c>
      <c r="Q145" s="8" t="str">
        <f>CONCATENATE(Tabla5[[#This Row],[MODULO]],"/T",Tabla5[[#This Row],[TURNO]])</f>
        <v>M4/T3</v>
      </c>
    </row>
    <row r="146" spans="3:17" x14ac:dyDescent="0.3">
      <c r="C146" s="8" t="str">
        <f t="shared" si="2"/>
        <v>Q147</v>
      </c>
      <c r="D146" s="8" t="s">
        <v>16</v>
      </c>
      <c r="E146" s="8" t="s">
        <v>17</v>
      </c>
      <c r="F146" s="22" t="s">
        <v>156</v>
      </c>
      <c r="G146" s="9">
        <v>3</v>
      </c>
      <c r="H146" s="9">
        <v>147</v>
      </c>
      <c r="I146" s="10" t="s">
        <v>19</v>
      </c>
      <c r="J146" s="11">
        <v>45762</v>
      </c>
      <c r="K146" s="13">
        <v>0.98</v>
      </c>
      <c r="L146" s="12">
        <v>6338</v>
      </c>
      <c r="M146" s="8" t="s">
        <v>20</v>
      </c>
      <c r="N146" s="8" t="s">
        <v>167</v>
      </c>
      <c r="O146" s="8">
        <f>Tabla5[[#This Row],[TURNO]]</f>
        <v>3</v>
      </c>
      <c r="P146" s="8" t="str">
        <f>Tabla5[[#This Row],[MODULO]]</f>
        <v>M4</v>
      </c>
      <c r="Q146" s="8" t="str">
        <f>CONCATENATE(Tabla5[[#This Row],[MODULO]],"/T",Tabla5[[#This Row],[TURNO]])</f>
        <v>M4/T3</v>
      </c>
    </row>
    <row r="147" spans="3:17" x14ac:dyDescent="0.3">
      <c r="C147" s="8" t="str">
        <f t="shared" si="2"/>
        <v>Q148</v>
      </c>
      <c r="D147" s="8" t="s">
        <v>16</v>
      </c>
      <c r="E147" s="8" t="s">
        <v>17</v>
      </c>
      <c r="F147" s="22" t="s">
        <v>156</v>
      </c>
      <c r="G147" s="9">
        <v>3</v>
      </c>
      <c r="H147" s="9">
        <v>148</v>
      </c>
      <c r="I147" s="10" t="s">
        <v>19</v>
      </c>
      <c r="J147" s="11">
        <v>45759</v>
      </c>
      <c r="K147" s="13">
        <v>0.98</v>
      </c>
      <c r="L147" s="12">
        <v>6347</v>
      </c>
      <c r="M147" s="8" t="s">
        <v>20</v>
      </c>
      <c r="N147" s="8" t="s">
        <v>168</v>
      </c>
      <c r="O147" s="8">
        <f>Tabla5[[#This Row],[TURNO]]</f>
        <v>3</v>
      </c>
      <c r="P147" s="8" t="str">
        <f>Tabla5[[#This Row],[MODULO]]</f>
        <v>M4</v>
      </c>
      <c r="Q147" s="8" t="str">
        <f>CONCATENATE(Tabla5[[#This Row],[MODULO]],"/T",Tabla5[[#This Row],[TURNO]])</f>
        <v>M4/T3</v>
      </c>
    </row>
    <row r="148" spans="3:17" x14ac:dyDescent="0.3">
      <c r="C148" s="8" t="str">
        <f t="shared" si="2"/>
        <v>Q149</v>
      </c>
      <c r="D148" s="8" t="s">
        <v>16</v>
      </c>
      <c r="E148" s="8" t="s">
        <v>17</v>
      </c>
      <c r="F148" s="22" t="s">
        <v>156</v>
      </c>
      <c r="G148" s="9">
        <v>3</v>
      </c>
      <c r="H148" s="9">
        <v>149</v>
      </c>
      <c r="I148" s="10" t="s">
        <v>19</v>
      </c>
      <c r="J148" s="11">
        <v>45759</v>
      </c>
      <c r="K148" s="13">
        <v>0.97</v>
      </c>
      <c r="L148" s="12">
        <v>6391</v>
      </c>
      <c r="M148" s="8" t="s">
        <v>20</v>
      </c>
      <c r="N148" s="8" t="s">
        <v>169</v>
      </c>
      <c r="O148" s="8">
        <f>Tabla5[[#This Row],[TURNO]]</f>
        <v>3</v>
      </c>
      <c r="P148" s="8" t="str">
        <f>Tabla5[[#This Row],[MODULO]]</f>
        <v>M4</v>
      </c>
      <c r="Q148" s="8" t="str">
        <f>CONCATENATE(Tabla5[[#This Row],[MODULO]],"/T",Tabla5[[#This Row],[TURNO]])</f>
        <v>M4/T3</v>
      </c>
    </row>
    <row r="149" spans="3:17" x14ac:dyDescent="0.3">
      <c r="C149" s="8" t="str">
        <f t="shared" si="2"/>
        <v>Q150</v>
      </c>
      <c r="D149" s="8" t="s">
        <v>16</v>
      </c>
      <c r="E149" s="8" t="s">
        <v>17</v>
      </c>
      <c r="F149" s="22" t="s">
        <v>156</v>
      </c>
      <c r="G149" s="9">
        <v>4</v>
      </c>
      <c r="H149" s="9">
        <v>150</v>
      </c>
      <c r="I149" s="10" t="s">
        <v>19</v>
      </c>
      <c r="J149" s="11">
        <v>45759</v>
      </c>
      <c r="K149" s="13">
        <v>0.98</v>
      </c>
      <c r="L149" s="12">
        <v>6393</v>
      </c>
      <c r="M149" s="8" t="s">
        <v>20</v>
      </c>
      <c r="N149" s="8" t="s">
        <v>170</v>
      </c>
      <c r="O149" s="8">
        <f>Tabla5[[#This Row],[TURNO]]</f>
        <v>4</v>
      </c>
      <c r="P149" s="8" t="str">
        <f>Tabla5[[#This Row],[MODULO]]</f>
        <v>M4</v>
      </c>
      <c r="Q149" s="8" t="str">
        <f>CONCATENATE(Tabla5[[#This Row],[MODULO]],"/T",Tabla5[[#This Row],[TURNO]])</f>
        <v>M4/T4</v>
      </c>
    </row>
    <row r="150" spans="3:17" x14ac:dyDescent="0.3">
      <c r="C150" s="8" t="str">
        <f t="shared" si="2"/>
        <v>Q151</v>
      </c>
      <c r="D150" s="8" t="s">
        <v>16</v>
      </c>
      <c r="E150" s="8" t="s">
        <v>17</v>
      </c>
      <c r="F150" s="22" t="s">
        <v>156</v>
      </c>
      <c r="G150" s="9">
        <v>4</v>
      </c>
      <c r="H150" s="9">
        <v>151</v>
      </c>
      <c r="I150" s="10" t="s">
        <v>19</v>
      </c>
      <c r="J150" s="11">
        <v>45759</v>
      </c>
      <c r="K150" s="13">
        <v>0.98</v>
      </c>
      <c r="L150" s="12">
        <v>6393</v>
      </c>
      <c r="M150" s="8" t="s">
        <v>20</v>
      </c>
      <c r="N150" s="8" t="s">
        <v>171</v>
      </c>
      <c r="O150" s="8">
        <f>Tabla5[[#This Row],[TURNO]]</f>
        <v>4</v>
      </c>
      <c r="P150" s="8" t="str">
        <f>Tabla5[[#This Row],[MODULO]]</f>
        <v>M4</v>
      </c>
      <c r="Q150" s="8" t="str">
        <f>CONCATENATE(Tabla5[[#This Row],[MODULO]],"/T",Tabla5[[#This Row],[TURNO]])</f>
        <v>M4/T4</v>
      </c>
    </row>
    <row r="151" spans="3:17" x14ac:dyDescent="0.3">
      <c r="C151" s="8" t="str">
        <f t="shared" si="2"/>
        <v>Q152</v>
      </c>
      <c r="D151" s="8" t="s">
        <v>16</v>
      </c>
      <c r="E151" s="8" t="s">
        <v>17</v>
      </c>
      <c r="F151" s="22" t="s">
        <v>156</v>
      </c>
      <c r="G151" s="9">
        <v>4</v>
      </c>
      <c r="H151" s="9">
        <v>152</v>
      </c>
      <c r="I151" s="10" t="s">
        <v>19</v>
      </c>
      <c r="J151" s="11">
        <v>45758</v>
      </c>
      <c r="K151" s="13">
        <v>0.98</v>
      </c>
      <c r="L151" s="12">
        <v>6387</v>
      </c>
      <c r="M151" s="8" t="s">
        <v>20</v>
      </c>
      <c r="N151" s="8" t="s">
        <v>172</v>
      </c>
      <c r="O151" s="8">
        <f>Tabla5[[#This Row],[TURNO]]</f>
        <v>4</v>
      </c>
      <c r="P151" s="8" t="str">
        <f>Tabla5[[#This Row],[MODULO]]</f>
        <v>M4</v>
      </c>
      <c r="Q151" s="8" t="str">
        <f>CONCATENATE(Tabla5[[#This Row],[MODULO]],"/T",Tabla5[[#This Row],[TURNO]])</f>
        <v>M4/T4</v>
      </c>
    </row>
    <row r="152" spans="3:17" x14ac:dyDescent="0.3">
      <c r="C152" s="8" t="str">
        <f t="shared" si="2"/>
        <v>Q153</v>
      </c>
      <c r="D152" s="8" t="s">
        <v>16</v>
      </c>
      <c r="E152" s="8" t="s">
        <v>17</v>
      </c>
      <c r="F152" s="22" t="s">
        <v>156</v>
      </c>
      <c r="G152" s="9">
        <v>4</v>
      </c>
      <c r="H152" s="9">
        <v>153</v>
      </c>
      <c r="I152" s="10" t="s">
        <v>19</v>
      </c>
      <c r="J152" s="11">
        <v>45758</v>
      </c>
      <c r="K152" s="13">
        <v>0.97</v>
      </c>
      <c r="L152" s="12">
        <v>6389</v>
      </c>
      <c r="M152" s="8" t="s">
        <v>20</v>
      </c>
      <c r="N152" s="8" t="s">
        <v>173</v>
      </c>
      <c r="O152" s="8">
        <f>Tabla5[[#This Row],[TURNO]]</f>
        <v>4</v>
      </c>
      <c r="P152" s="8" t="str">
        <f>Tabla5[[#This Row],[MODULO]]</f>
        <v>M4</v>
      </c>
      <c r="Q152" s="8" t="str">
        <f>CONCATENATE(Tabla5[[#This Row],[MODULO]],"/T",Tabla5[[#This Row],[TURNO]])</f>
        <v>M4/T4</v>
      </c>
    </row>
    <row r="153" spans="3:17" x14ac:dyDescent="0.3">
      <c r="C153" s="8" t="str">
        <f t="shared" si="2"/>
        <v>Q154</v>
      </c>
      <c r="D153" s="8" t="s">
        <v>16</v>
      </c>
      <c r="E153" s="8" t="s">
        <v>17</v>
      </c>
      <c r="F153" s="22" t="s">
        <v>156</v>
      </c>
      <c r="G153" s="9">
        <v>5</v>
      </c>
      <c r="H153" s="9">
        <v>154</v>
      </c>
      <c r="I153" s="10" t="s">
        <v>19</v>
      </c>
      <c r="J153" s="11">
        <v>45759</v>
      </c>
      <c r="K153" s="13">
        <v>0.98</v>
      </c>
      <c r="L153" s="12">
        <v>6393</v>
      </c>
      <c r="M153" s="8" t="s">
        <v>20</v>
      </c>
      <c r="N153" s="8" t="s">
        <v>174</v>
      </c>
      <c r="O153" s="8">
        <f>Tabla5[[#This Row],[TURNO]]</f>
        <v>5</v>
      </c>
      <c r="P153" s="8" t="str">
        <f>Tabla5[[#This Row],[MODULO]]</f>
        <v>M4</v>
      </c>
      <c r="Q153" s="8" t="str">
        <f>CONCATENATE(Tabla5[[#This Row],[MODULO]],"/T",Tabla5[[#This Row],[TURNO]])</f>
        <v>M4/T5</v>
      </c>
    </row>
    <row r="154" spans="3:17" x14ac:dyDescent="0.3">
      <c r="C154" s="8" t="str">
        <f t="shared" si="2"/>
        <v>Q155</v>
      </c>
      <c r="D154" s="8" t="s">
        <v>16</v>
      </c>
      <c r="E154" s="8" t="s">
        <v>17</v>
      </c>
      <c r="F154" s="22" t="s">
        <v>156</v>
      </c>
      <c r="G154" s="9">
        <v>5</v>
      </c>
      <c r="H154" s="9">
        <v>155</v>
      </c>
      <c r="I154" s="10" t="s">
        <v>19</v>
      </c>
      <c r="J154" s="11">
        <v>45759</v>
      </c>
      <c r="K154" s="13">
        <v>0.98</v>
      </c>
      <c r="L154" s="12">
        <v>6395</v>
      </c>
      <c r="M154" s="8" t="s">
        <v>20</v>
      </c>
      <c r="N154" s="8" t="s">
        <v>175</v>
      </c>
      <c r="O154" s="8">
        <f>Tabla5[[#This Row],[TURNO]]</f>
        <v>5</v>
      </c>
      <c r="P154" s="8" t="str">
        <f>Tabla5[[#This Row],[MODULO]]</f>
        <v>M4</v>
      </c>
      <c r="Q154" s="8" t="str">
        <f>CONCATENATE(Tabla5[[#This Row],[MODULO]],"/T",Tabla5[[#This Row],[TURNO]])</f>
        <v>M4/T5</v>
      </c>
    </row>
    <row r="155" spans="3:17" x14ac:dyDescent="0.3">
      <c r="C155" s="8" t="str">
        <f t="shared" si="2"/>
        <v>Q156</v>
      </c>
      <c r="D155" s="8" t="s">
        <v>16</v>
      </c>
      <c r="E155" s="8" t="s">
        <v>17</v>
      </c>
      <c r="F155" s="22" t="s">
        <v>156</v>
      </c>
      <c r="G155" s="9">
        <v>5</v>
      </c>
      <c r="H155" s="9">
        <v>156</v>
      </c>
      <c r="I155" s="10" t="s">
        <v>19</v>
      </c>
      <c r="J155" s="11">
        <v>45759</v>
      </c>
      <c r="K155" s="13">
        <v>0.98</v>
      </c>
      <c r="L155" s="12">
        <v>6389</v>
      </c>
      <c r="M155" s="8" t="s">
        <v>20</v>
      </c>
      <c r="N155" s="8" t="s">
        <v>176</v>
      </c>
      <c r="O155" s="8">
        <f>Tabla5[[#This Row],[TURNO]]</f>
        <v>5</v>
      </c>
      <c r="P155" s="8" t="str">
        <f>Tabla5[[#This Row],[MODULO]]</f>
        <v>M4</v>
      </c>
      <c r="Q155" s="8" t="str">
        <f>CONCATENATE(Tabla5[[#This Row],[MODULO]],"/T",Tabla5[[#This Row],[TURNO]])</f>
        <v>M4/T5</v>
      </c>
    </row>
    <row r="156" spans="3:17" x14ac:dyDescent="0.3">
      <c r="C156" s="8" t="str">
        <f t="shared" si="2"/>
        <v>Q157</v>
      </c>
      <c r="D156" s="8" t="s">
        <v>16</v>
      </c>
      <c r="E156" s="8" t="s">
        <v>17</v>
      </c>
      <c r="F156" s="22" t="s">
        <v>156</v>
      </c>
      <c r="G156" s="9">
        <v>5</v>
      </c>
      <c r="H156" s="9">
        <v>157</v>
      </c>
      <c r="I156" s="10" t="s">
        <v>19</v>
      </c>
      <c r="J156" s="11">
        <v>45758</v>
      </c>
      <c r="K156" s="13">
        <v>0.97</v>
      </c>
      <c r="L156" s="12">
        <v>6393</v>
      </c>
      <c r="M156" s="8" t="s">
        <v>20</v>
      </c>
      <c r="N156" s="8" t="s">
        <v>177</v>
      </c>
      <c r="O156" s="8">
        <f>Tabla5[[#This Row],[TURNO]]</f>
        <v>5</v>
      </c>
      <c r="P156" s="8" t="str">
        <f>Tabla5[[#This Row],[MODULO]]</f>
        <v>M4</v>
      </c>
      <c r="Q156" s="8" t="str">
        <f>CONCATENATE(Tabla5[[#This Row],[MODULO]],"/T",Tabla5[[#This Row],[TURNO]])</f>
        <v>M4/T5</v>
      </c>
    </row>
    <row r="157" spans="3:17" x14ac:dyDescent="0.3">
      <c r="C157" s="8" t="str">
        <f t="shared" si="2"/>
        <v>Q158</v>
      </c>
      <c r="D157" s="8" t="s">
        <v>16</v>
      </c>
      <c r="E157" s="8" t="s">
        <v>17</v>
      </c>
      <c r="F157" s="22" t="s">
        <v>156</v>
      </c>
      <c r="G157" s="9">
        <v>6</v>
      </c>
      <c r="H157" s="9">
        <v>158</v>
      </c>
      <c r="I157" s="10" t="s">
        <v>19</v>
      </c>
      <c r="J157" s="11">
        <v>45769</v>
      </c>
      <c r="K157" s="9">
        <v>0.87</v>
      </c>
      <c r="L157" s="12">
        <v>5659</v>
      </c>
      <c r="M157" s="8" t="s">
        <v>20</v>
      </c>
      <c r="N157" s="8" t="s">
        <v>178</v>
      </c>
      <c r="O157" s="8">
        <f>Tabla5[[#This Row],[TURNO]]</f>
        <v>6</v>
      </c>
      <c r="P157" s="8" t="str">
        <f>Tabla5[[#This Row],[MODULO]]</f>
        <v>M4</v>
      </c>
      <c r="Q157" s="8" t="str">
        <f>CONCATENATE(Tabla5[[#This Row],[MODULO]],"/T",Tabla5[[#This Row],[TURNO]])</f>
        <v>M4/T6</v>
      </c>
    </row>
    <row r="158" spans="3:17" x14ac:dyDescent="0.3">
      <c r="C158" s="8" t="str">
        <f t="shared" si="2"/>
        <v>Q159</v>
      </c>
      <c r="D158" s="8" t="s">
        <v>16</v>
      </c>
      <c r="E158" s="8" t="s">
        <v>17</v>
      </c>
      <c r="F158" s="22" t="s">
        <v>156</v>
      </c>
      <c r="G158" s="9">
        <v>6</v>
      </c>
      <c r="H158" s="9">
        <v>159</v>
      </c>
      <c r="I158" s="10" t="s">
        <v>19</v>
      </c>
      <c r="J158" s="11">
        <v>45769</v>
      </c>
      <c r="K158" s="9">
        <v>0.9</v>
      </c>
      <c r="L158" s="12">
        <v>5833</v>
      </c>
      <c r="M158" s="8" t="s">
        <v>20</v>
      </c>
      <c r="N158" s="8" t="s">
        <v>179</v>
      </c>
      <c r="O158" s="8">
        <f>Tabla5[[#This Row],[TURNO]]</f>
        <v>6</v>
      </c>
      <c r="P158" s="8" t="str">
        <f>Tabla5[[#This Row],[MODULO]]</f>
        <v>M4</v>
      </c>
      <c r="Q158" s="8" t="str">
        <f>CONCATENATE(Tabla5[[#This Row],[MODULO]],"/T",Tabla5[[#This Row],[TURNO]])</f>
        <v>M4/T6</v>
      </c>
    </row>
    <row r="159" spans="3:17" x14ac:dyDescent="0.3">
      <c r="C159" s="8" t="str">
        <f t="shared" si="2"/>
        <v>Q160</v>
      </c>
      <c r="D159" s="8" t="s">
        <v>16</v>
      </c>
      <c r="E159" s="8" t="s">
        <v>17</v>
      </c>
      <c r="F159" s="22" t="s">
        <v>156</v>
      </c>
      <c r="G159" s="9">
        <v>6</v>
      </c>
      <c r="H159" s="9">
        <v>160</v>
      </c>
      <c r="I159" s="10" t="s">
        <v>19</v>
      </c>
      <c r="J159" s="11">
        <v>45758</v>
      </c>
      <c r="K159" s="13">
        <v>0.37</v>
      </c>
      <c r="L159" s="12">
        <v>2447</v>
      </c>
      <c r="M159" s="8" t="s">
        <v>20</v>
      </c>
      <c r="N159" s="8" t="s">
        <v>180</v>
      </c>
      <c r="O159" s="8">
        <f>Tabla5[[#This Row],[TURNO]]</f>
        <v>6</v>
      </c>
      <c r="P159" s="8" t="str">
        <f>Tabla5[[#This Row],[MODULO]]</f>
        <v>M4</v>
      </c>
      <c r="Q159" s="8" t="str">
        <f>CONCATENATE(Tabla5[[#This Row],[MODULO]],"/T",Tabla5[[#This Row],[TURNO]])</f>
        <v>M4/T6</v>
      </c>
    </row>
    <row r="160" spans="3:17" x14ac:dyDescent="0.3">
      <c r="C160" s="8" t="str">
        <f t="shared" si="2"/>
        <v>Q161</v>
      </c>
      <c r="D160" s="8" t="s">
        <v>16</v>
      </c>
      <c r="E160" s="8" t="s">
        <v>17</v>
      </c>
      <c r="F160" s="22" t="s">
        <v>156</v>
      </c>
      <c r="G160" s="9">
        <v>6</v>
      </c>
      <c r="H160" s="9">
        <v>161</v>
      </c>
      <c r="I160" s="10" t="s">
        <v>19</v>
      </c>
      <c r="J160" s="11">
        <v>45758</v>
      </c>
      <c r="K160" s="13">
        <v>0.28000000000000003</v>
      </c>
      <c r="L160" s="12">
        <v>1574</v>
      </c>
      <c r="M160" s="8" t="s">
        <v>20</v>
      </c>
      <c r="N160" s="8" t="s">
        <v>181</v>
      </c>
      <c r="O160" s="8">
        <f>Tabla5[[#This Row],[TURNO]]</f>
        <v>6</v>
      </c>
      <c r="P160" s="8" t="str">
        <f>Tabla5[[#This Row],[MODULO]]</f>
        <v>M4</v>
      </c>
      <c r="Q160" s="8" t="str">
        <f>CONCATENATE(Tabla5[[#This Row],[MODULO]],"/T",Tabla5[[#This Row],[TURNO]])</f>
        <v>M4/T6</v>
      </c>
    </row>
    <row r="161" spans="3:17" x14ac:dyDescent="0.3">
      <c r="C161" s="8" t="str">
        <f t="shared" si="2"/>
        <v>Q162</v>
      </c>
      <c r="D161" s="8" t="s">
        <v>16</v>
      </c>
      <c r="E161" s="8" t="s">
        <v>17</v>
      </c>
      <c r="F161" s="22" t="s">
        <v>156</v>
      </c>
      <c r="G161" s="9">
        <v>6</v>
      </c>
      <c r="H161" s="9">
        <v>162</v>
      </c>
      <c r="I161" s="10" t="s">
        <v>19</v>
      </c>
      <c r="J161" s="11">
        <v>45758</v>
      </c>
      <c r="K161" s="13">
        <v>0.98</v>
      </c>
      <c r="L161" s="12">
        <v>5301</v>
      </c>
      <c r="M161" s="8" t="s">
        <v>20</v>
      </c>
      <c r="N161" s="8" t="s">
        <v>182</v>
      </c>
      <c r="O161" s="8">
        <f>Tabla5[[#This Row],[TURNO]]</f>
        <v>6</v>
      </c>
      <c r="P161" s="8" t="str">
        <f>Tabla5[[#This Row],[MODULO]]</f>
        <v>M4</v>
      </c>
      <c r="Q161" s="8" t="str">
        <f>CONCATENATE(Tabla5[[#This Row],[MODULO]],"/T",Tabla5[[#This Row],[TURNO]])</f>
        <v>M4/T6</v>
      </c>
    </row>
    <row r="162" spans="3:17" x14ac:dyDescent="0.3">
      <c r="C162" s="8" t="str">
        <f t="shared" si="2"/>
        <v>Q163</v>
      </c>
      <c r="D162" s="8" t="s">
        <v>16</v>
      </c>
      <c r="E162" s="8" t="s">
        <v>17</v>
      </c>
      <c r="F162" s="22" t="s">
        <v>156</v>
      </c>
      <c r="G162" s="9">
        <v>6</v>
      </c>
      <c r="H162" s="9">
        <v>163</v>
      </c>
      <c r="I162" s="10" t="s">
        <v>19</v>
      </c>
      <c r="J162" s="11">
        <v>45758</v>
      </c>
      <c r="K162" s="13">
        <v>0.98</v>
      </c>
      <c r="L162" s="12">
        <v>6426</v>
      </c>
      <c r="M162" s="8" t="s">
        <v>20</v>
      </c>
      <c r="N162" s="8" t="s">
        <v>183</v>
      </c>
      <c r="O162" s="8">
        <f>Tabla5[[#This Row],[TURNO]]</f>
        <v>6</v>
      </c>
      <c r="P162" s="8" t="str">
        <f>Tabla5[[#This Row],[MODULO]]</f>
        <v>M4</v>
      </c>
      <c r="Q162" s="8" t="str">
        <f>CONCATENATE(Tabla5[[#This Row],[MODULO]],"/T",Tabla5[[#This Row],[TURNO]])</f>
        <v>M4/T6</v>
      </c>
    </row>
    <row r="163" spans="3:17" x14ac:dyDescent="0.3">
      <c r="C163" s="8" t="str">
        <f t="shared" si="2"/>
        <v>Q164</v>
      </c>
      <c r="D163" s="8" t="s">
        <v>16</v>
      </c>
      <c r="E163" s="8" t="s">
        <v>17</v>
      </c>
      <c r="F163" s="22" t="s">
        <v>156</v>
      </c>
      <c r="G163" s="9">
        <v>7</v>
      </c>
      <c r="H163" s="9">
        <v>164</v>
      </c>
      <c r="I163" s="10" t="s">
        <v>19</v>
      </c>
      <c r="J163" s="11">
        <v>45758</v>
      </c>
      <c r="K163" s="13">
        <v>0.98</v>
      </c>
      <c r="L163" s="12">
        <v>6394</v>
      </c>
      <c r="M163" s="8" t="s">
        <v>20</v>
      </c>
      <c r="N163" s="8" t="s">
        <v>184</v>
      </c>
      <c r="O163" s="8">
        <f>Tabla5[[#This Row],[TURNO]]</f>
        <v>7</v>
      </c>
      <c r="P163" s="8" t="str">
        <f>Tabla5[[#This Row],[MODULO]]</f>
        <v>M4</v>
      </c>
      <c r="Q163" s="8" t="str">
        <f>CONCATENATE(Tabla5[[#This Row],[MODULO]],"/T",Tabla5[[#This Row],[TURNO]])</f>
        <v>M4/T7</v>
      </c>
    </row>
    <row r="164" spans="3:17" x14ac:dyDescent="0.3">
      <c r="C164" s="8" t="str">
        <f t="shared" si="2"/>
        <v>Q165</v>
      </c>
      <c r="D164" s="8" t="s">
        <v>16</v>
      </c>
      <c r="E164" s="8" t="s">
        <v>17</v>
      </c>
      <c r="F164" s="22" t="s">
        <v>156</v>
      </c>
      <c r="G164" s="9">
        <v>7</v>
      </c>
      <c r="H164" s="9">
        <v>165</v>
      </c>
      <c r="I164" s="10" t="s">
        <v>19</v>
      </c>
      <c r="J164" s="11">
        <v>45758</v>
      </c>
      <c r="K164" s="13">
        <v>0.97</v>
      </c>
      <c r="L164" s="12">
        <v>6391</v>
      </c>
      <c r="M164" s="8" t="s">
        <v>20</v>
      </c>
      <c r="N164" s="8" t="s">
        <v>185</v>
      </c>
      <c r="O164" s="8">
        <f>Tabla5[[#This Row],[TURNO]]</f>
        <v>7</v>
      </c>
      <c r="P164" s="8" t="str">
        <f>Tabla5[[#This Row],[MODULO]]</f>
        <v>M4</v>
      </c>
      <c r="Q164" s="8" t="str">
        <f>CONCATENATE(Tabla5[[#This Row],[MODULO]],"/T",Tabla5[[#This Row],[TURNO]])</f>
        <v>M4/T7</v>
      </c>
    </row>
    <row r="165" spans="3:17" x14ac:dyDescent="0.3">
      <c r="C165" s="8" t="str">
        <f t="shared" si="2"/>
        <v>Q166</v>
      </c>
      <c r="D165" s="8" t="s">
        <v>16</v>
      </c>
      <c r="E165" s="8" t="s">
        <v>17</v>
      </c>
      <c r="F165" s="22" t="s">
        <v>156</v>
      </c>
      <c r="G165" s="9">
        <v>7</v>
      </c>
      <c r="H165" s="9">
        <v>166</v>
      </c>
      <c r="I165" s="10" t="s">
        <v>19</v>
      </c>
      <c r="J165" s="11">
        <v>45758</v>
      </c>
      <c r="K165" s="13">
        <v>0.98</v>
      </c>
      <c r="L165" s="12">
        <v>6396</v>
      </c>
      <c r="M165" s="8" t="s">
        <v>20</v>
      </c>
      <c r="N165" s="8" t="s">
        <v>186</v>
      </c>
      <c r="O165" s="8">
        <f>Tabla5[[#This Row],[TURNO]]</f>
        <v>7</v>
      </c>
      <c r="P165" s="8" t="str">
        <f>Tabla5[[#This Row],[MODULO]]</f>
        <v>M4</v>
      </c>
      <c r="Q165" s="8" t="str">
        <f>CONCATENATE(Tabla5[[#This Row],[MODULO]],"/T",Tabla5[[#This Row],[TURNO]])</f>
        <v>M4/T7</v>
      </c>
    </row>
    <row r="166" spans="3:17" x14ac:dyDescent="0.3">
      <c r="C166" s="8" t="str">
        <f t="shared" si="2"/>
        <v>Q167</v>
      </c>
      <c r="D166" s="8" t="s">
        <v>16</v>
      </c>
      <c r="E166" s="8" t="s">
        <v>17</v>
      </c>
      <c r="F166" s="22" t="s">
        <v>156</v>
      </c>
      <c r="G166" s="9">
        <v>7</v>
      </c>
      <c r="H166" s="9">
        <v>167</v>
      </c>
      <c r="I166" s="10" t="s">
        <v>19</v>
      </c>
      <c r="J166" s="11">
        <v>45758</v>
      </c>
      <c r="K166" s="13">
        <v>0.98</v>
      </c>
      <c r="L166" s="12">
        <v>6390</v>
      </c>
      <c r="M166" s="8" t="s">
        <v>20</v>
      </c>
      <c r="N166" s="8" t="s">
        <v>187</v>
      </c>
      <c r="O166" s="8">
        <f>Tabla5[[#This Row],[TURNO]]</f>
        <v>7</v>
      </c>
      <c r="P166" s="8" t="str">
        <f>Tabla5[[#This Row],[MODULO]]</f>
        <v>M4</v>
      </c>
      <c r="Q166" s="8" t="str">
        <f>CONCATENATE(Tabla5[[#This Row],[MODULO]],"/T",Tabla5[[#This Row],[TURNO]])</f>
        <v>M4/T7</v>
      </c>
    </row>
    <row r="167" spans="3:17" x14ac:dyDescent="0.3">
      <c r="C167" s="8" t="str">
        <f t="shared" si="2"/>
        <v>Q168</v>
      </c>
      <c r="D167" s="8" t="s">
        <v>16</v>
      </c>
      <c r="E167" s="8" t="s">
        <v>17</v>
      </c>
      <c r="F167" s="22" t="s">
        <v>156</v>
      </c>
      <c r="G167" s="9">
        <v>8</v>
      </c>
      <c r="H167" s="9">
        <v>168</v>
      </c>
      <c r="I167" s="10" t="s">
        <v>19</v>
      </c>
      <c r="J167" s="11">
        <v>45758</v>
      </c>
      <c r="K167" s="13">
        <v>0.97</v>
      </c>
      <c r="L167" s="12">
        <v>6402</v>
      </c>
      <c r="M167" s="8" t="s">
        <v>20</v>
      </c>
      <c r="N167" s="8" t="s">
        <v>188</v>
      </c>
      <c r="O167" s="8">
        <f>Tabla5[[#This Row],[TURNO]]</f>
        <v>8</v>
      </c>
      <c r="P167" s="8" t="str">
        <f>Tabla5[[#This Row],[MODULO]]</f>
        <v>M4</v>
      </c>
      <c r="Q167" s="8" t="str">
        <f>CONCATENATE(Tabla5[[#This Row],[MODULO]],"/T",Tabla5[[#This Row],[TURNO]])</f>
        <v>M4/T8</v>
      </c>
    </row>
    <row r="168" spans="3:17" x14ac:dyDescent="0.3">
      <c r="C168" s="8" t="str">
        <f t="shared" si="2"/>
        <v>Q169</v>
      </c>
      <c r="D168" s="8" t="s">
        <v>16</v>
      </c>
      <c r="E168" s="8" t="s">
        <v>17</v>
      </c>
      <c r="F168" s="22" t="s">
        <v>156</v>
      </c>
      <c r="G168" s="9">
        <v>8</v>
      </c>
      <c r="H168" s="9">
        <v>169</v>
      </c>
      <c r="I168" s="10" t="s">
        <v>19</v>
      </c>
      <c r="J168" s="11">
        <v>45758</v>
      </c>
      <c r="K168" s="13">
        <v>0.98</v>
      </c>
      <c r="L168" s="12">
        <v>5810</v>
      </c>
      <c r="M168" s="8" t="s">
        <v>20</v>
      </c>
      <c r="N168" s="8" t="s">
        <v>189</v>
      </c>
      <c r="O168" s="8">
        <f>Tabla5[[#This Row],[TURNO]]</f>
        <v>8</v>
      </c>
      <c r="P168" s="8" t="str">
        <f>Tabla5[[#This Row],[MODULO]]</f>
        <v>M4</v>
      </c>
      <c r="Q168" s="8" t="str">
        <f>CONCATENATE(Tabla5[[#This Row],[MODULO]],"/T",Tabla5[[#This Row],[TURNO]])</f>
        <v>M4/T8</v>
      </c>
    </row>
    <row r="169" spans="3:17" x14ac:dyDescent="0.3">
      <c r="C169" s="8" t="str">
        <f t="shared" si="2"/>
        <v>Q170</v>
      </c>
      <c r="D169" s="8" t="s">
        <v>16</v>
      </c>
      <c r="E169" s="8" t="s">
        <v>17</v>
      </c>
      <c r="F169" s="22" t="s">
        <v>156</v>
      </c>
      <c r="G169" s="9">
        <v>8</v>
      </c>
      <c r="H169" s="9">
        <v>170</v>
      </c>
      <c r="I169" s="10" t="s">
        <v>19</v>
      </c>
      <c r="J169" s="11">
        <v>45756</v>
      </c>
      <c r="K169" s="13">
        <v>0.98</v>
      </c>
      <c r="L169" s="12">
        <v>5936</v>
      </c>
      <c r="M169" s="8" t="s">
        <v>20</v>
      </c>
      <c r="N169" s="8" t="s">
        <v>190</v>
      </c>
      <c r="O169" s="8">
        <f>Tabla5[[#This Row],[TURNO]]</f>
        <v>8</v>
      </c>
      <c r="P169" s="8" t="str">
        <f>Tabla5[[#This Row],[MODULO]]</f>
        <v>M4</v>
      </c>
      <c r="Q169" s="8" t="str">
        <f>CONCATENATE(Tabla5[[#This Row],[MODULO]],"/T",Tabla5[[#This Row],[TURNO]])</f>
        <v>M4/T8</v>
      </c>
    </row>
    <row r="170" spans="3:17" x14ac:dyDescent="0.3">
      <c r="C170" s="8" t="str">
        <f t="shared" si="2"/>
        <v>Q171</v>
      </c>
      <c r="D170" s="8" t="s">
        <v>16</v>
      </c>
      <c r="E170" s="8" t="s">
        <v>17</v>
      </c>
      <c r="F170" s="22" t="s">
        <v>156</v>
      </c>
      <c r="G170" s="9">
        <v>8</v>
      </c>
      <c r="H170" s="9">
        <v>171</v>
      </c>
      <c r="I170" s="10" t="s">
        <v>19</v>
      </c>
      <c r="J170" s="11">
        <v>45757</v>
      </c>
      <c r="K170" s="13">
        <v>0.98</v>
      </c>
      <c r="L170" s="12">
        <v>6396</v>
      </c>
      <c r="M170" s="8" t="s">
        <v>20</v>
      </c>
      <c r="N170" s="8" t="s">
        <v>191</v>
      </c>
      <c r="O170" s="8">
        <f>Tabla5[[#This Row],[TURNO]]</f>
        <v>8</v>
      </c>
      <c r="P170" s="8" t="str">
        <f>Tabla5[[#This Row],[MODULO]]</f>
        <v>M4</v>
      </c>
      <c r="Q170" s="8" t="str">
        <f>CONCATENATE(Tabla5[[#This Row],[MODULO]],"/T",Tabla5[[#This Row],[TURNO]])</f>
        <v>M4/T8</v>
      </c>
    </row>
    <row r="171" spans="3:17" x14ac:dyDescent="0.3">
      <c r="C171" s="8" t="str">
        <f t="shared" si="2"/>
        <v>Q172</v>
      </c>
      <c r="D171" s="8" t="s">
        <v>16</v>
      </c>
      <c r="E171" s="8" t="s">
        <v>17</v>
      </c>
      <c r="F171" s="22" t="s">
        <v>156</v>
      </c>
      <c r="G171" s="9">
        <v>9</v>
      </c>
      <c r="H171" s="9">
        <v>172</v>
      </c>
      <c r="I171" s="10" t="s">
        <v>19</v>
      </c>
      <c r="J171" s="11">
        <v>45757</v>
      </c>
      <c r="K171" s="13">
        <v>0.98</v>
      </c>
      <c r="L171" s="12">
        <v>6396</v>
      </c>
      <c r="M171" s="8" t="s">
        <v>20</v>
      </c>
      <c r="N171" s="8" t="s">
        <v>192</v>
      </c>
      <c r="O171" s="8">
        <f>Tabla5[[#This Row],[TURNO]]</f>
        <v>9</v>
      </c>
      <c r="P171" s="8" t="str">
        <f>Tabla5[[#This Row],[MODULO]]</f>
        <v>M4</v>
      </c>
      <c r="Q171" s="8" t="str">
        <f>CONCATENATE(Tabla5[[#This Row],[MODULO]],"/T",Tabla5[[#This Row],[TURNO]])</f>
        <v>M4/T9</v>
      </c>
    </row>
    <row r="172" spans="3:17" x14ac:dyDescent="0.3">
      <c r="C172" s="8" t="str">
        <f t="shared" si="2"/>
        <v>Q173</v>
      </c>
      <c r="D172" s="8" t="s">
        <v>16</v>
      </c>
      <c r="E172" s="8" t="s">
        <v>17</v>
      </c>
      <c r="F172" s="22" t="s">
        <v>156</v>
      </c>
      <c r="G172" s="9">
        <v>9</v>
      </c>
      <c r="H172" s="9">
        <v>173</v>
      </c>
      <c r="I172" s="10" t="s">
        <v>19</v>
      </c>
      <c r="J172" s="11">
        <v>45757</v>
      </c>
      <c r="K172" s="13">
        <v>0.93</v>
      </c>
      <c r="L172" s="12">
        <v>6392</v>
      </c>
      <c r="M172" s="8" t="s">
        <v>20</v>
      </c>
      <c r="N172" s="8" t="s">
        <v>193</v>
      </c>
      <c r="O172" s="8">
        <f>Tabla5[[#This Row],[TURNO]]</f>
        <v>9</v>
      </c>
      <c r="P172" s="8" t="str">
        <f>Tabla5[[#This Row],[MODULO]]</f>
        <v>M4</v>
      </c>
      <c r="Q172" s="8" t="str">
        <f>CONCATENATE(Tabla5[[#This Row],[MODULO]],"/T",Tabla5[[#This Row],[TURNO]])</f>
        <v>M4/T9</v>
      </c>
    </row>
    <row r="173" spans="3:17" x14ac:dyDescent="0.3">
      <c r="C173" s="8" t="str">
        <f t="shared" si="2"/>
        <v>Q174</v>
      </c>
      <c r="D173" s="8" t="s">
        <v>16</v>
      </c>
      <c r="E173" s="8" t="s">
        <v>17</v>
      </c>
      <c r="F173" s="22" t="s">
        <v>156</v>
      </c>
      <c r="G173" s="9">
        <v>9</v>
      </c>
      <c r="H173" s="9">
        <v>174</v>
      </c>
      <c r="I173" s="10" t="s">
        <v>19</v>
      </c>
      <c r="J173" s="11">
        <v>45758</v>
      </c>
      <c r="K173" s="13">
        <v>0.98</v>
      </c>
      <c r="L173" s="12">
        <v>6392</v>
      </c>
      <c r="M173" s="8" t="s">
        <v>20</v>
      </c>
      <c r="N173" s="8" t="s">
        <v>194</v>
      </c>
      <c r="O173" s="8">
        <f>Tabla5[[#This Row],[TURNO]]</f>
        <v>9</v>
      </c>
      <c r="P173" s="8" t="str">
        <f>Tabla5[[#This Row],[MODULO]]</f>
        <v>M4</v>
      </c>
      <c r="Q173" s="8" t="str">
        <f>CONCATENATE(Tabla5[[#This Row],[MODULO]],"/T",Tabla5[[#This Row],[TURNO]])</f>
        <v>M4/T9</v>
      </c>
    </row>
    <row r="174" spans="3:17" x14ac:dyDescent="0.3">
      <c r="C174" s="8" t="str">
        <f t="shared" si="2"/>
        <v>Q175</v>
      </c>
      <c r="D174" s="8" t="s">
        <v>16</v>
      </c>
      <c r="E174" s="8" t="s">
        <v>17</v>
      </c>
      <c r="F174" s="22" t="s">
        <v>156</v>
      </c>
      <c r="G174" s="9">
        <v>9</v>
      </c>
      <c r="H174" s="9">
        <v>175</v>
      </c>
      <c r="I174" s="10" t="s">
        <v>19</v>
      </c>
      <c r="J174" s="11">
        <v>45758</v>
      </c>
      <c r="K174" s="13">
        <v>0.8</v>
      </c>
      <c r="L174" s="12">
        <v>5301</v>
      </c>
      <c r="M174" s="8" t="s">
        <v>20</v>
      </c>
      <c r="N174" s="8" t="s">
        <v>195</v>
      </c>
      <c r="O174" s="8">
        <f>Tabla5[[#This Row],[TURNO]]</f>
        <v>9</v>
      </c>
      <c r="P174" s="8" t="str">
        <f>Tabla5[[#This Row],[MODULO]]</f>
        <v>M4</v>
      </c>
      <c r="Q174" s="8" t="str">
        <f>CONCATENATE(Tabla5[[#This Row],[MODULO]],"/T",Tabla5[[#This Row],[TURNO]])</f>
        <v>M4/T9</v>
      </c>
    </row>
    <row r="175" spans="3:17" x14ac:dyDescent="0.3">
      <c r="C175" s="8" t="str">
        <f t="shared" si="2"/>
        <v>Q176</v>
      </c>
      <c r="D175" s="8" t="s">
        <v>16</v>
      </c>
      <c r="E175" s="8" t="s">
        <v>17</v>
      </c>
      <c r="F175" s="22" t="s">
        <v>156</v>
      </c>
      <c r="G175" s="9">
        <v>10</v>
      </c>
      <c r="H175" s="9">
        <v>176</v>
      </c>
      <c r="I175" s="10" t="s">
        <v>19</v>
      </c>
      <c r="J175" s="11">
        <v>45757</v>
      </c>
      <c r="K175" s="13">
        <v>0.83000000000000007</v>
      </c>
      <c r="L175" s="12">
        <v>5417</v>
      </c>
      <c r="M175" s="8" t="s">
        <v>20</v>
      </c>
      <c r="N175" s="8" t="s">
        <v>196</v>
      </c>
      <c r="O175" s="8">
        <f>Tabla5[[#This Row],[TURNO]]</f>
        <v>10</v>
      </c>
      <c r="P175" s="8" t="str">
        <f>Tabla5[[#This Row],[MODULO]]</f>
        <v>M4</v>
      </c>
      <c r="Q175" s="8" t="str">
        <f>CONCATENATE(Tabla5[[#This Row],[MODULO]],"/T",Tabla5[[#This Row],[TURNO]])</f>
        <v>M4/T10</v>
      </c>
    </row>
    <row r="176" spans="3:17" x14ac:dyDescent="0.3">
      <c r="C176" s="8" t="str">
        <f t="shared" si="2"/>
        <v>Q177</v>
      </c>
      <c r="D176" s="8" t="s">
        <v>16</v>
      </c>
      <c r="E176" s="8" t="s">
        <v>17</v>
      </c>
      <c r="F176" s="22" t="s">
        <v>156</v>
      </c>
      <c r="G176" s="9">
        <v>10</v>
      </c>
      <c r="H176" s="9">
        <v>177</v>
      </c>
      <c r="I176" s="10" t="s">
        <v>19</v>
      </c>
      <c r="J176" s="11">
        <v>45757</v>
      </c>
      <c r="K176" s="13">
        <v>0.98</v>
      </c>
      <c r="L176" s="12">
        <v>6389</v>
      </c>
      <c r="M176" s="8" t="s">
        <v>20</v>
      </c>
      <c r="N176" s="8" t="s">
        <v>197</v>
      </c>
      <c r="O176" s="8">
        <f>Tabla5[[#This Row],[TURNO]]</f>
        <v>10</v>
      </c>
      <c r="P176" s="8" t="str">
        <f>Tabla5[[#This Row],[MODULO]]</f>
        <v>M4</v>
      </c>
      <c r="Q176" s="8" t="str">
        <f>CONCATENATE(Tabla5[[#This Row],[MODULO]],"/T",Tabla5[[#This Row],[TURNO]])</f>
        <v>M4/T10</v>
      </c>
    </row>
    <row r="177" spans="3:17" x14ac:dyDescent="0.3">
      <c r="C177" s="8" t="str">
        <f t="shared" si="2"/>
        <v>Q178</v>
      </c>
      <c r="D177" s="8" t="s">
        <v>16</v>
      </c>
      <c r="E177" s="8" t="s">
        <v>17</v>
      </c>
      <c r="F177" s="22" t="s">
        <v>156</v>
      </c>
      <c r="G177" s="9">
        <v>10</v>
      </c>
      <c r="H177" s="9">
        <v>178</v>
      </c>
      <c r="I177" s="10" t="s">
        <v>19</v>
      </c>
      <c r="J177" s="11">
        <v>45757</v>
      </c>
      <c r="K177" s="13">
        <v>0.98</v>
      </c>
      <c r="L177" s="12">
        <v>6394</v>
      </c>
      <c r="M177" s="8" t="s">
        <v>20</v>
      </c>
      <c r="N177" s="8" t="s">
        <v>198</v>
      </c>
      <c r="O177" s="8">
        <f>Tabla5[[#This Row],[TURNO]]</f>
        <v>10</v>
      </c>
      <c r="P177" s="8" t="str">
        <f>Tabla5[[#This Row],[MODULO]]</f>
        <v>M4</v>
      </c>
      <c r="Q177" s="8" t="str">
        <f>CONCATENATE(Tabla5[[#This Row],[MODULO]],"/T",Tabla5[[#This Row],[TURNO]])</f>
        <v>M4/T10</v>
      </c>
    </row>
    <row r="178" spans="3:17" x14ac:dyDescent="0.3">
      <c r="C178" s="8" t="str">
        <f t="shared" si="2"/>
        <v>Q179</v>
      </c>
      <c r="D178" s="8" t="s">
        <v>16</v>
      </c>
      <c r="E178" s="8" t="s">
        <v>17</v>
      </c>
      <c r="F178" s="22" t="s">
        <v>156</v>
      </c>
      <c r="G178" s="9">
        <v>10</v>
      </c>
      <c r="H178" s="9">
        <v>179</v>
      </c>
      <c r="I178" s="10" t="s">
        <v>19</v>
      </c>
      <c r="J178" s="11">
        <v>45757</v>
      </c>
      <c r="K178" s="13">
        <v>0.49</v>
      </c>
      <c r="L178" s="12">
        <v>2826</v>
      </c>
      <c r="M178" s="8" t="s">
        <v>20</v>
      </c>
      <c r="N178" s="8" t="s">
        <v>199</v>
      </c>
      <c r="O178" s="8">
        <f>Tabla5[[#This Row],[TURNO]]</f>
        <v>10</v>
      </c>
      <c r="P178" s="8" t="str">
        <f>Tabla5[[#This Row],[MODULO]]</f>
        <v>M4</v>
      </c>
      <c r="Q178" s="8" t="str">
        <f>CONCATENATE(Tabla5[[#This Row],[MODULO]],"/T",Tabla5[[#This Row],[TURNO]])</f>
        <v>M4/T10</v>
      </c>
    </row>
    <row r="179" spans="3:17" x14ac:dyDescent="0.3">
      <c r="C179" s="8" t="str">
        <f t="shared" si="2"/>
        <v>Q180</v>
      </c>
      <c r="D179" s="8" t="s">
        <v>16</v>
      </c>
      <c r="E179" s="8" t="s">
        <v>17</v>
      </c>
      <c r="F179" s="22" t="s">
        <v>156</v>
      </c>
      <c r="G179" s="9">
        <v>10</v>
      </c>
      <c r="H179" s="9">
        <v>180</v>
      </c>
      <c r="I179" s="10" t="s">
        <v>19</v>
      </c>
      <c r="J179" s="11">
        <v>45757</v>
      </c>
      <c r="K179" s="13">
        <v>0.63</v>
      </c>
      <c r="L179" s="12">
        <v>3977</v>
      </c>
      <c r="M179" s="8" t="s">
        <v>20</v>
      </c>
      <c r="N179" s="8" t="s">
        <v>200</v>
      </c>
      <c r="O179" s="8">
        <f>Tabla5[[#This Row],[TURNO]]</f>
        <v>10</v>
      </c>
      <c r="P179" s="8" t="str">
        <f>Tabla5[[#This Row],[MODULO]]</f>
        <v>M4</v>
      </c>
      <c r="Q179" s="8" t="str">
        <f>CONCATENATE(Tabla5[[#This Row],[MODULO]],"/T",Tabla5[[#This Row],[TURNO]])</f>
        <v>M4/T10</v>
      </c>
    </row>
    <row r="180" spans="3:17" x14ac:dyDescent="0.3">
      <c r="C180" s="8" t="str">
        <f t="shared" si="2"/>
        <v>Q181</v>
      </c>
      <c r="D180" s="8" t="s">
        <v>16</v>
      </c>
      <c r="E180" s="8" t="s">
        <v>17</v>
      </c>
      <c r="F180" s="22" t="s">
        <v>156</v>
      </c>
      <c r="G180" s="9">
        <v>10</v>
      </c>
      <c r="H180" s="9">
        <v>181</v>
      </c>
      <c r="I180" s="10" t="s">
        <v>19</v>
      </c>
      <c r="J180" s="11">
        <v>45757</v>
      </c>
      <c r="K180" s="13">
        <v>0.22</v>
      </c>
      <c r="L180" s="12">
        <v>1426</v>
      </c>
      <c r="M180" s="8" t="s">
        <v>20</v>
      </c>
      <c r="N180" s="8" t="s">
        <v>201</v>
      </c>
      <c r="O180" s="8">
        <f>Tabla5[[#This Row],[TURNO]]</f>
        <v>10</v>
      </c>
      <c r="P180" s="8" t="str">
        <f>Tabla5[[#This Row],[MODULO]]</f>
        <v>M4</v>
      </c>
      <c r="Q180" s="8" t="str">
        <f>CONCATENATE(Tabla5[[#This Row],[MODULO]],"/T",Tabla5[[#This Row],[TURNO]])</f>
        <v>M4/T10</v>
      </c>
    </row>
    <row r="181" spans="3:17" x14ac:dyDescent="0.3">
      <c r="C181" s="8" t="str">
        <f t="shared" si="2"/>
        <v>Q182</v>
      </c>
      <c r="D181" s="8" t="s">
        <v>16</v>
      </c>
      <c r="E181" s="8" t="s">
        <v>17</v>
      </c>
      <c r="F181" s="22" t="s">
        <v>202</v>
      </c>
      <c r="G181" s="9">
        <v>1</v>
      </c>
      <c r="H181" s="9">
        <v>182</v>
      </c>
      <c r="I181" s="10" t="s">
        <v>19</v>
      </c>
      <c r="J181" s="11">
        <v>45750</v>
      </c>
      <c r="K181" s="13">
        <v>0.98</v>
      </c>
      <c r="L181" s="12">
        <v>6393</v>
      </c>
      <c r="M181" s="8" t="s">
        <v>20</v>
      </c>
      <c r="N181" s="8" t="s">
        <v>203</v>
      </c>
      <c r="O181" s="8">
        <f>Tabla5[[#This Row],[TURNO]]</f>
        <v>1</v>
      </c>
      <c r="P181" s="8" t="str">
        <f>Tabla5[[#This Row],[MODULO]]</f>
        <v>M5</v>
      </c>
      <c r="Q181" s="8" t="str">
        <f>CONCATENATE(Tabla5[[#This Row],[MODULO]],"/T",Tabla5[[#This Row],[TURNO]])</f>
        <v>M5/T1</v>
      </c>
    </row>
    <row r="182" spans="3:17" x14ac:dyDescent="0.3">
      <c r="C182" s="8" t="str">
        <f t="shared" si="2"/>
        <v>Q183</v>
      </c>
      <c r="D182" s="8" t="s">
        <v>16</v>
      </c>
      <c r="E182" s="8" t="s">
        <v>17</v>
      </c>
      <c r="F182" s="22" t="s">
        <v>202</v>
      </c>
      <c r="G182" s="9">
        <v>1</v>
      </c>
      <c r="H182" s="9">
        <v>183</v>
      </c>
      <c r="I182" s="10" t="s">
        <v>19</v>
      </c>
      <c r="J182" s="11">
        <v>45750</v>
      </c>
      <c r="K182" s="13">
        <v>0.98</v>
      </c>
      <c r="L182" s="12">
        <v>6404</v>
      </c>
      <c r="M182" s="8" t="s">
        <v>20</v>
      </c>
      <c r="N182" s="8" t="s">
        <v>204</v>
      </c>
      <c r="O182" s="8">
        <f>Tabla5[[#This Row],[TURNO]]</f>
        <v>1</v>
      </c>
      <c r="P182" s="8" t="str">
        <f>Tabla5[[#This Row],[MODULO]]</f>
        <v>M5</v>
      </c>
      <c r="Q182" s="8" t="str">
        <f>CONCATENATE(Tabla5[[#This Row],[MODULO]],"/T",Tabla5[[#This Row],[TURNO]])</f>
        <v>M5/T1</v>
      </c>
    </row>
    <row r="183" spans="3:17" x14ac:dyDescent="0.3">
      <c r="C183" s="8" t="str">
        <f t="shared" si="2"/>
        <v>Q184</v>
      </c>
      <c r="D183" s="8" t="s">
        <v>16</v>
      </c>
      <c r="E183" s="8" t="s">
        <v>17</v>
      </c>
      <c r="F183" s="22" t="s">
        <v>202</v>
      </c>
      <c r="G183" s="9">
        <v>1</v>
      </c>
      <c r="H183" s="9">
        <v>184</v>
      </c>
      <c r="I183" s="10" t="s">
        <v>19</v>
      </c>
      <c r="J183" s="11">
        <v>45756</v>
      </c>
      <c r="K183" s="13">
        <v>0.98</v>
      </c>
      <c r="L183" s="12">
        <v>6386</v>
      </c>
      <c r="M183" s="8" t="s">
        <v>20</v>
      </c>
      <c r="N183" s="8" t="s">
        <v>205</v>
      </c>
      <c r="O183" s="8">
        <f>Tabla5[[#This Row],[TURNO]]</f>
        <v>1</v>
      </c>
      <c r="P183" s="8" t="str">
        <f>Tabla5[[#This Row],[MODULO]]</f>
        <v>M5</v>
      </c>
      <c r="Q183" s="8" t="str">
        <f>CONCATENATE(Tabla5[[#This Row],[MODULO]],"/T",Tabla5[[#This Row],[TURNO]])</f>
        <v>M5/T1</v>
      </c>
    </row>
    <row r="184" spans="3:17" x14ac:dyDescent="0.3">
      <c r="C184" s="8" t="str">
        <f t="shared" si="2"/>
        <v>Q185</v>
      </c>
      <c r="D184" s="8" t="s">
        <v>16</v>
      </c>
      <c r="E184" s="8" t="s">
        <v>17</v>
      </c>
      <c r="F184" s="22" t="s">
        <v>202</v>
      </c>
      <c r="G184" s="9">
        <v>1</v>
      </c>
      <c r="H184" s="9">
        <v>185</v>
      </c>
      <c r="I184" s="10" t="s">
        <v>19</v>
      </c>
      <c r="J184" s="11">
        <v>45756</v>
      </c>
      <c r="K184" s="13">
        <v>0.97</v>
      </c>
      <c r="L184" s="12">
        <v>6388</v>
      </c>
      <c r="M184" s="8" t="s">
        <v>20</v>
      </c>
      <c r="N184" s="8" t="s">
        <v>206</v>
      </c>
      <c r="O184" s="8">
        <f>Tabla5[[#This Row],[TURNO]]</f>
        <v>1</v>
      </c>
      <c r="P184" s="8" t="str">
        <f>Tabla5[[#This Row],[MODULO]]</f>
        <v>M5</v>
      </c>
      <c r="Q184" s="8" t="str">
        <f>CONCATENATE(Tabla5[[#This Row],[MODULO]],"/T",Tabla5[[#This Row],[TURNO]])</f>
        <v>M5/T1</v>
      </c>
    </row>
    <row r="185" spans="3:17" x14ac:dyDescent="0.3">
      <c r="C185" s="8" t="str">
        <f t="shared" si="2"/>
        <v>Q186</v>
      </c>
      <c r="D185" s="8" t="s">
        <v>16</v>
      </c>
      <c r="E185" s="8" t="s">
        <v>17</v>
      </c>
      <c r="F185" s="22" t="s">
        <v>202</v>
      </c>
      <c r="G185" s="9">
        <v>2</v>
      </c>
      <c r="H185" s="9">
        <v>186</v>
      </c>
      <c r="I185" s="10" t="s">
        <v>19</v>
      </c>
      <c r="J185" s="11">
        <v>45756</v>
      </c>
      <c r="K185" s="13">
        <v>0.97</v>
      </c>
      <c r="L185" s="12">
        <v>6391</v>
      </c>
      <c r="M185" s="8" t="s">
        <v>20</v>
      </c>
      <c r="N185" s="8" t="s">
        <v>207</v>
      </c>
      <c r="O185" s="8">
        <f>Tabla5[[#This Row],[TURNO]]</f>
        <v>2</v>
      </c>
      <c r="P185" s="8" t="str">
        <f>Tabla5[[#This Row],[MODULO]]</f>
        <v>M5</v>
      </c>
      <c r="Q185" s="8" t="str">
        <f>CONCATENATE(Tabla5[[#This Row],[MODULO]],"/T",Tabla5[[#This Row],[TURNO]])</f>
        <v>M5/T2</v>
      </c>
    </row>
    <row r="186" spans="3:17" x14ac:dyDescent="0.3">
      <c r="C186" s="8" t="str">
        <f t="shared" si="2"/>
        <v>Q187</v>
      </c>
      <c r="D186" s="8" t="s">
        <v>16</v>
      </c>
      <c r="E186" s="8" t="s">
        <v>17</v>
      </c>
      <c r="F186" s="22" t="s">
        <v>202</v>
      </c>
      <c r="G186" s="9">
        <v>2</v>
      </c>
      <c r="H186" s="9">
        <v>187</v>
      </c>
      <c r="I186" s="10" t="s">
        <v>19</v>
      </c>
      <c r="J186" s="11">
        <v>45756</v>
      </c>
      <c r="K186" s="13">
        <v>0.98</v>
      </c>
      <c r="L186" s="12">
        <v>6395</v>
      </c>
      <c r="M186" s="8" t="s">
        <v>20</v>
      </c>
      <c r="N186" s="8" t="s">
        <v>208</v>
      </c>
      <c r="O186" s="8">
        <f>Tabla5[[#This Row],[TURNO]]</f>
        <v>2</v>
      </c>
      <c r="P186" s="8" t="str">
        <f>Tabla5[[#This Row],[MODULO]]</f>
        <v>M5</v>
      </c>
      <c r="Q186" s="8" t="str">
        <f>CONCATENATE(Tabla5[[#This Row],[MODULO]],"/T",Tabla5[[#This Row],[TURNO]])</f>
        <v>M5/T2</v>
      </c>
    </row>
    <row r="187" spans="3:17" x14ac:dyDescent="0.3">
      <c r="C187" s="8" t="str">
        <f t="shared" si="2"/>
        <v>Q188</v>
      </c>
      <c r="D187" s="8" t="s">
        <v>16</v>
      </c>
      <c r="E187" s="8" t="s">
        <v>17</v>
      </c>
      <c r="F187" s="22" t="s">
        <v>202</v>
      </c>
      <c r="G187" s="9">
        <v>2</v>
      </c>
      <c r="H187" s="9">
        <v>188</v>
      </c>
      <c r="I187" s="10" t="s">
        <v>19</v>
      </c>
      <c r="J187" s="11">
        <v>45751</v>
      </c>
      <c r="K187" s="13">
        <v>0.98</v>
      </c>
      <c r="L187" s="12">
        <v>6392</v>
      </c>
      <c r="M187" s="8" t="s">
        <v>20</v>
      </c>
      <c r="N187" s="8" t="s">
        <v>209</v>
      </c>
      <c r="O187" s="8">
        <f>Tabla5[[#This Row],[TURNO]]</f>
        <v>2</v>
      </c>
      <c r="P187" s="8" t="str">
        <f>Tabla5[[#This Row],[MODULO]]</f>
        <v>M5</v>
      </c>
      <c r="Q187" s="8" t="str">
        <f>CONCATENATE(Tabla5[[#This Row],[MODULO]],"/T",Tabla5[[#This Row],[TURNO]])</f>
        <v>M5/T2</v>
      </c>
    </row>
    <row r="188" spans="3:17" x14ac:dyDescent="0.3">
      <c r="C188" s="8" t="str">
        <f t="shared" si="2"/>
        <v>Q189</v>
      </c>
      <c r="D188" s="8" t="s">
        <v>16</v>
      </c>
      <c r="E188" s="8" t="s">
        <v>17</v>
      </c>
      <c r="F188" s="22" t="s">
        <v>202</v>
      </c>
      <c r="G188" s="9">
        <v>2</v>
      </c>
      <c r="H188" s="9">
        <v>189</v>
      </c>
      <c r="I188" s="10" t="s">
        <v>19</v>
      </c>
      <c r="J188" s="11">
        <v>45751</v>
      </c>
      <c r="K188" s="13">
        <v>0.98</v>
      </c>
      <c r="L188" s="12">
        <v>6393</v>
      </c>
      <c r="M188" s="8" t="s">
        <v>20</v>
      </c>
      <c r="N188" s="8" t="s">
        <v>210</v>
      </c>
      <c r="O188" s="8">
        <f>Tabla5[[#This Row],[TURNO]]</f>
        <v>2</v>
      </c>
      <c r="P188" s="8" t="str">
        <f>Tabla5[[#This Row],[MODULO]]</f>
        <v>M5</v>
      </c>
      <c r="Q188" s="8" t="str">
        <f>CONCATENATE(Tabla5[[#This Row],[MODULO]],"/T",Tabla5[[#This Row],[TURNO]])</f>
        <v>M5/T2</v>
      </c>
    </row>
    <row r="189" spans="3:17" x14ac:dyDescent="0.3">
      <c r="C189" s="8" t="str">
        <f t="shared" si="2"/>
        <v>Q190</v>
      </c>
      <c r="D189" s="8" t="s">
        <v>16</v>
      </c>
      <c r="E189" s="8" t="s">
        <v>17</v>
      </c>
      <c r="F189" s="22" t="s">
        <v>202</v>
      </c>
      <c r="G189" s="9">
        <v>3</v>
      </c>
      <c r="H189" s="9">
        <v>190</v>
      </c>
      <c r="I189" s="10" t="s">
        <v>19</v>
      </c>
      <c r="J189" s="11">
        <v>45751</v>
      </c>
      <c r="K189" s="13">
        <v>0.98</v>
      </c>
      <c r="L189" s="12">
        <v>6393</v>
      </c>
      <c r="M189" s="8" t="s">
        <v>20</v>
      </c>
      <c r="N189" s="8" t="s">
        <v>211</v>
      </c>
      <c r="O189" s="8">
        <f>Tabla5[[#This Row],[TURNO]]</f>
        <v>3</v>
      </c>
      <c r="P189" s="8" t="str">
        <f>Tabla5[[#This Row],[MODULO]]</f>
        <v>M5</v>
      </c>
      <c r="Q189" s="8" t="str">
        <f>CONCATENATE(Tabla5[[#This Row],[MODULO]],"/T",Tabla5[[#This Row],[TURNO]])</f>
        <v>M5/T3</v>
      </c>
    </row>
    <row r="190" spans="3:17" x14ac:dyDescent="0.3">
      <c r="C190" s="8" t="str">
        <f t="shared" si="2"/>
        <v>Q191</v>
      </c>
      <c r="D190" s="8" t="s">
        <v>16</v>
      </c>
      <c r="E190" s="8" t="s">
        <v>17</v>
      </c>
      <c r="F190" s="22" t="s">
        <v>202</v>
      </c>
      <c r="G190" s="9">
        <v>3</v>
      </c>
      <c r="H190" s="9">
        <v>191</v>
      </c>
      <c r="I190" s="10" t="s">
        <v>19</v>
      </c>
      <c r="J190" s="11">
        <v>45751</v>
      </c>
      <c r="K190" s="13">
        <v>0.98</v>
      </c>
      <c r="L190" s="12">
        <v>6393</v>
      </c>
      <c r="M190" s="8" t="s">
        <v>20</v>
      </c>
      <c r="N190" s="8" t="s">
        <v>212</v>
      </c>
      <c r="O190" s="8">
        <f>Tabla5[[#This Row],[TURNO]]</f>
        <v>3</v>
      </c>
      <c r="P190" s="8" t="str">
        <f>Tabla5[[#This Row],[MODULO]]</f>
        <v>M5</v>
      </c>
      <c r="Q190" s="8" t="str">
        <f>CONCATENATE(Tabla5[[#This Row],[MODULO]],"/T",Tabla5[[#This Row],[TURNO]])</f>
        <v>M5/T3</v>
      </c>
    </row>
    <row r="191" spans="3:17" x14ac:dyDescent="0.3">
      <c r="C191" s="8" t="str">
        <f t="shared" si="2"/>
        <v>Q192</v>
      </c>
      <c r="D191" s="8" t="s">
        <v>16</v>
      </c>
      <c r="E191" s="8" t="s">
        <v>17</v>
      </c>
      <c r="F191" s="22" t="s">
        <v>202</v>
      </c>
      <c r="G191" s="9">
        <v>3</v>
      </c>
      <c r="H191" s="9">
        <v>192</v>
      </c>
      <c r="I191" s="10" t="s">
        <v>19</v>
      </c>
      <c r="J191" s="11">
        <v>45754</v>
      </c>
      <c r="K191" s="13">
        <v>0.98</v>
      </c>
      <c r="L191" s="12">
        <v>6391</v>
      </c>
      <c r="M191" s="8" t="s">
        <v>20</v>
      </c>
      <c r="N191" s="8" t="s">
        <v>213</v>
      </c>
      <c r="O191" s="8">
        <f>Tabla5[[#This Row],[TURNO]]</f>
        <v>3</v>
      </c>
      <c r="P191" s="8" t="str">
        <f>Tabla5[[#This Row],[MODULO]]</f>
        <v>M5</v>
      </c>
      <c r="Q191" s="8" t="str">
        <f>CONCATENATE(Tabla5[[#This Row],[MODULO]],"/T",Tabla5[[#This Row],[TURNO]])</f>
        <v>M5/T3</v>
      </c>
    </row>
    <row r="192" spans="3:17" x14ac:dyDescent="0.3">
      <c r="C192" s="8" t="str">
        <f t="shared" si="2"/>
        <v>Q193</v>
      </c>
      <c r="D192" s="8" t="s">
        <v>16</v>
      </c>
      <c r="E192" s="8" t="s">
        <v>17</v>
      </c>
      <c r="F192" s="22" t="s">
        <v>202</v>
      </c>
      <c r="G192" s="9">
        <v>3</v>
      </c>
      <c r="H192" s="9">
        <v>193</v>
      </c>
      <c r="I192" s="10" t="s">
        <v>19</v>
      </c>
      <c r="J192" s="11">
        <v>45754</v>
      </c>
      <c r="K192" s="13">
        <v>0.97</v>
      </c>
      <c r="L192" s="12">
        <v>6394</v>
      </c>
      <c r="M192" s="8" t="s">
        <v>20</v>
      </c>
      <c r="N192" s="8" t="s">
        <v>214</v>
      </c>
      <c r="O192" s="8">
        <f>Tabla5[[#This Row],[TURNO]]</f>
        <v>3</v>
      </c>
      <c r="P192" s="8" t="str">
        <f>Tabla5[[#This Row],[MODULO]]</f>
        <v>M5</v>
      </c>
      <c r="Q192" s="8" t="str">
        <f>CONCATENATE(Tabla5[[#This Row],[MODULO]],"/T",Tabla5[[#This Row],[TURNO]])</f>
        <v>M5/T3</v>
      </c>
    </row>
    <row r="193" spans="3:17" x14ac:dyDescent="0.3">
      <c r="C193" s="8" t="str">
        <f t="shared" si="2"/>
        <v>Q194</v>
      </c>
      <c r="D193" s="8" t="s">
        <v>16</v>
      </c>
      <c r="E193" s="8" t="s">
        <v>17</v>
      </c>
      <c r="F193" s="22" t="s">
        <v>202</v>
      </c>
      <c r="G193" s="9">
        <v>4</v>
      </c>
      <c r="H193" s="9">
        <v>194</v>
      </c>
      <c r="I193" s="10" t="s">
        <v>19</v>
      </c>
      <c r="J193" s="11">
        <v>45754</v>
      </c>
      <c r="K193" s="13">
        <v>0.97</v>
      </c>
      <c r="L193" s="12">
        <v>6390</v>
      </c>
      <c r="M193" s="8" t="s">
        <v>20</v>
      </c>
      <c r="N193" s="8" t="s">
        <v>215</v>
      </c>
      <c r="O193" s="8">
        <f>Tabla5[[#This Row],[TURNO]]</f>
        <v>4</v>
      </c>
      <c r="P193" s="8" t="str">
        <f>Tabla5[[#This Row],[MODULO]]</f>
        <v>M5</v>
      </c>
      <c r="Q193" s="8" t="str">
        <f>CONCATENATE(Tabla5[[#This Row],[MODULO]],"/T",Tabla5[[#This Row],[TURNO]])</f>
        <v>M5/T4</v>
      </c>
    </row>
    <row r="194" spans="3:17" x14ac:dyDescent="0.3">
      <c r="C194" s="8" t="str">
        <f t="shared" si="2"/>
        <v>Q195</v>
      </c>
      <c r="D194" s="8" t="s">
        <v>16</v>
      </c>
      <c r="E194" s="8" t="s">
        <v>17</v>
      </c>
      <c r="F194" s="22" t="s">
        <v>202</v>
      </c>
      <c r="G194" s="9">
        <v>4</v>
      </c>
      <c r="H194" s="9">
        <v>195</v>
      </c>
      <c r="I194" s="10" t="s">
        <v>19</v>
      </c>
      <c r="J194" s="11">
        <v>45754</v>
      </c>
      <c r="K194" s="13">
        <v>0.98</v>
      </c>
      <c r="L194" s="12">
        <v>6394</v>
      </c>
      <c r="M194" s="8" t="s">
        <v>20</v>
      </c>
      <c r="N194" s="8" t="s">
        <v>216</v>
      </c>
      <c r="O194" s="8">
        <f>Tabla5[[#This Row],[TURNO]]</f>
        <v>4</v>
      </c>
      <c r="P194" s="8" t="str">
        <f>Tabla5[[#This Row],[MODULO]]</f>
        <v>M5</v>
      </c>
      <c r="Q194" s="8" t="str">
        <f>CONCATENATE(Tabla5[[#This Row],[MODULO]],"/T",Tabla5[[#This Row],[TURNO]])</f>
        <v>M5/T4</v>
      </c>
    </row>
    <row r="195" spans="3:17" x14ac:dyDescent="0.3">
      <c r="C195" s="8" t="str">
        <f t="shared" ref="C195:C229" si="3">CONCATENATE(MID($D195,1,1),$H195)</f>
        <v>Q196</v>
      </c>
      <c r="D195" s="8" t="s">
        <v>16</v>
      </c>
      <c r="E195" s="8" t="s">
        <v>17</v>
      </c>
      <c r="F195" s="22" t="s">
        <v>202</v>
      </c>
      <c r="G195" s="9">
        <v>4</v>
      </c>
      <c r="H195" s="9">
        <v>196</v>
      </c>
      <c r="I195" s="10" t="s">
        <v>19</v>
      </c>
      <c r="J195" s="11">
        <v>45751</v>
      </c>
      <c r="K195" s="13">
        <v>0.98</v>
      </c>
      <c r="L195" s="12">
        <v>6394</v>
      </c>
      <c r="M195" s="8" t="s">
        <v>20</v>
      </c>
      <c r="N195" s="8" t="s">
        <v>217</v>
      </c>
      <c r="O195" s="8">
        <f>Tabla5[[#This Row],[TURNO]]</f>
        <v>4</v>
      </c>
      <c r="P195" s="8" t="str">
        <f>Tabla5[[#This Row],[MODULO]]</f>
        <v>M5</v>
      </c>
      <c r="Q195" s="8" t="str">
        <f>CONCATENATE(Tabla5[[#This Row],[MODULO]],"/T",Tabla5[[#This Row],[TURNO]])</f>
        <v>M5/T4</v>
      </c>
    </row>
    <row r="196" spans="3:17" x14ac:dyDescent="0.3">
      <c r="C196" s="8" t="str">
        <f t="shared" si="3"/>
        <v>Q197</v>
      </c>
      <c r="D196" s="8" t="s">
        <v>16</v>
      </c>
      <c r="E196" s="8" t="s">
        <v>17</v>
      </c>
      <c r="F196" s="22" t="s">
        <v>202</v>
      </c>
      <c r="G196" s="9">
        <v>4</v>
      </c>
      <c r="H196" s="9">
        <v>197</v>
      </c>
      <c r="I196" s="10" t="s">
        <v>19</v>
      </c>
      <c r="J196" s="11">
        <v>45751</v>
      </c>
      <c r="K196" s="13">
        <v>0.98</v>
      </c>
      <c r="L196" s="12">
        <v>6414</v>
      </c>
      <c r="M196" s="8" t="s">
        <v>20</v>
      </c>
      <c r="N196" s="8" t="s">
        <v>218</v>
      </c>
      <c r="O196" s="8">
        <f>Tabla5[[#This Row],[TURNO]]</f>
        <v>4</v>
      </c>
      <c r="P196" s="8" t="str">
        <f>Tabla5[[#This Row],[MODULO]]</f>
        <v>M5</v>
      </c>
      <c r="Q196" s="8" t="str">
        <f>CONCATENATE(Tabla5[[#This Row],[MODULO]],"/T",Tabla5[[#This Row],[TURNO]])</f>
        <v>M5/T4</v>
      </c>
    </row>
    <row r="197" spans="3:17" x14ac:dyDescent="0.3">
      <c r="C197" s="8" t="str">
        <f t="shared" si="3"/>
        <v>Q217</v>
      </c>
      <c r="D197" s="8" t="s">
        <v>16</v>
      </c>
      <c r="E197" s="8" t="s">
        <v>17</v>
      </c>
      <c r="F197" s="22" t="s">
        <v>202</v>
      </c>
      <c r="G197" s="9">
        <v>9</v>
      </c>
      <c r="H197" s="9">
        <v>217</v>
      </c>
      <c r="I197" s="10" t="s">
        <v>19</v>
      </c>
      <c r="J197" s="11">
        <v>45752</v>
      </c>
      <c r="K197" s="13">
        <v>0.98</v>
      </c>
      <c r="L197" s="12">
        <v>6393</v>
      </c>
      <c r="M197" s="8" t="s">
        <v>20</v>
      </c>
      <c r="N197" s="8" t="s">
        <v>219</v>
      </c>
      <c r="O197" s="8">
        <f>Tabla5[[#This Row],[TURNO]]</f>
        <v>9</v>
      </c>
      <c r="P197" s="8" t="str">
        <f>Tabla5[[#This Row],[MODULO]]</f>
        <v>M5</v>
      </c>
      <c r="Q197" s="8" t="str">
        <f>CONCATENATE(Tabla5[[#This Row],[MODULO]],"/T",Tabla5[[#This Row],[TURNO]])</f>
        <v>M5/T9</v>
      </c>
    </row>
    <row r="198" spans="3:17" x14ac:dyDescent="0.3">
      <c r="C198" s="8" t="str">
        <f t="shared" si="3"/>
        <v>Q218</v>
      </c>
      <c r="D198" s="8" t="s">
        <v>16</v>
      </c>
      <c r="E198" s="8" t="s">
        <v>17</v>
      </c>
      <c r="F198" s="22" t="s">
        <v>202</v>
      </c>
      <c r="G198" s="9">
        <v>9</v>
      </c>
      <c r="H198" s="9">
        <v>218</v>
      </c>
      <c r="I198" s="10" t="s">
        <v>19</v>
      </c>
      <c r="J198" s="11">
        <v>45752</v>
      </c>
      <c r="K198" s="13">
        <v>0.98</v>
      </c>
      <c r="L198" s="12">
        <v>6394</v>
      </c>
      <c r="M198" s="8" t="s">
        <v>20</v>
      </c>
      <c r="N198" s="8" t="s">
        <v>220</v>
      </c>
      <c r="O198" s="8">
        <f>Tabla5[[#This Row],[TURNO]]</f>
        <v>9</v>
      </c>
      <c r="P198" s="8" t="str">
        <f>Tabla5[[#This Row],[MODULO]]</f>
        <v>M5</v>
      </c>
      <c r="Q198" s="8" t="str">
        <f>CONCATENATE(Tabla5[[#This Row],[MODULO]],"/T",Tabla5[[#This Row],[TURNO]])</f>
        <v>M5/T9</v>
      </c>
    </row>
    <row r="199" spans="3:17" x14ac:dyDescent="0.3">
      <c r="C199" s="8" t="str">
        <f t="shared" si="3"/>
        <v>Q219</v>
      </c>
      <c r="D199" s="8" t="s">
        <v>16</v>
      </c>
      <c r="E199" s="8" t="s">
        <v>17</v>
      </c>
      <c r="F199" s="22" t="s">
        <v>202</v>
      </c>
      <c r="G199" s="9">
        <v>9</v>
      </c>
      <c r="H199" s="9">
        <v>219</v>
      </c>
      <c r="I199" s="10" t="s">
        <v>19</v>
      </c>
      <c r="J199" s="11">
        <v>45752</v>
      </c>
      <c r="K199" s="13">
        <v>0.98</v>
      </c>
      <c r="L199" s="12">
        <v>6390</v>
      </c>
      <c r="M199" s="8" t="s">
        <v>20</v>
      </c>
      <c r="N199" s="8" t="s">
        <v>221</v>
      </c>
      <c r="O199" s="8">
        <f>Tabla5[[#This Row],[TURNO]]</f>
        <v>9</v>
      </c>
      <c r="P199" s="8" t="str">
        <f>Tabla5[[#This Row],[MODULO]]</f>
        <v>M5</v>
      </c>
      <c r="Q199" s="8" t="str">
        <f>CONCATENATE(Tabla5[[#This Row],[MODULO]],"/T",Tabla5[[#This Row],[TURNO]])</f>
        <v>M5/T9</v>
      </c>
    </row>
    <row r="200" spans="3:17" x14ac:dyDescent="0.3">
      <c r="C200" s="8" t="str">
        <f t="shared" si="3"/>
        <v>Q220</v>
      </c>
      <c r="D200" s="8" t="s">
        <v>16</v>
      </c>
      <c r="E200" s="8" t="s">
        <v>17</v>
      </c>
      <c r="F200" s="22" t="s">
        <v>202</v>
      </c>
      <c r="G200" s="9">
        <v>9</v>
      </c>
      <c r="H200" s="9">
        <v>220</v>
      </c>
      <c r="I200" s="10" t="s">
        <v>19</v>
      </c>
      <c r="J200" s="11">
        <v>45752</v>
      </c>
      <c r="K200" s="13">
        <v>0.97</v>
      </c>
      <c r="L200" s="12">
        <v>6394</v>
      </c>
      <c r="M200" s="8" t="s">
        <v>20</v>
      </c>
      <c r="N200" s="8" t="s">
        <v>222</v>
      </c>
      <c r="O200" s="8">
        <f>Tabla5[[#This Row],[TURNO]]</f>
        <v>9</v>
      </c>
      <c r="P200" s="8" t="str">
        <f>Tabla5[[#This Row],[MODULO]]</f>
        <v>M5</v>
      </c>
      <c r="Q200" s="8" t="str">
        <f>CONCATENATE(Tabla5[[#This Row],[MODULO]],"/T",Tabla5[[#This Row],[TURNO]])</f>
        <v>M5/T9</v>
      </c>
    </row>
    <row r="201" spans="3:17" x14ac:dyDescent="0.3">
      <c r="C201" s="8" t="str">
        <f t="shared" si="3"/>
        <v>Q221</v>
      </c>
      <c r="D201" s="8" t="s">
        <v>16</v>
      </c>
      <c r="E201" s="8" t="s">
        <v>17</v>
      </c>
      <c r="F201" s="22" t="s">
        <v>202</v>
      </c>
      <c r="G201" s="9">
        <v>10</v>
      </c>
      <c r="H201" s="9">
        <v>221</v>
      </c>
      <c r="I201" s="10" t="s">
        <v>19</v>
      </c>
      <c r="J201" s="11">
        <v>45772</v>
      </c>
      <c r="K201" s="9">
        <v>0.98</v>
      </c>
      <c r="L201" s="12">
        <v>6014</v>
      </c>
      <c r="M201" s="8" t="s">
        <v>20</v>
      </c>
      <c r="N201" s="8" t="s">
        <v>223</v>
      </c>
      <c r="O201" s="8">
        <f>Tabla5[[#This Row],[TURNO]]</f>
        <v>10</v>
      </c>
      <c r="P201" s="8" t="str">
        <f>Tabla5[[#This Row],[MODULO]]</f>
        <v>M5</v>
      </c>
      <c r="Q201" s="8" t="str">
        <f>CONCATENATE(Tabla5[[#This Row],[MODULO]],"/T",Tabla5[[#This Row],[TURNO]])</f>
        <v>M5/T10</v>
      </c>
    </row>
    <row r="202" spans="3:17" x14ac:dyDescent="0.3">
      <c r="C202" s="8" t="str">
        <f t="shared" si="3"/>
        <v>Q222</v>
      </c>
      <c r="D202" s="8" t="s">
        <v>16</v>
      </c>
      <c r="E202" s="8" t="s">
        <v>17</v>
      </c>
      <c r="F202" s="22" t="s">
        <v>202</v>
      </c>
      <c r="G202" s="9">
        <v>10</v>
      </c>
      <c r="H202" s="9">
        <v>222</v>
      </c>
      <c r="I202" s="10" t="s">
        <v>19</v>
      </c>
      <c r="J202" s="11">
        <v>45772</v>
      </c>
      <c r="K202" s="9">
        <v>0.73</v>
      </c>
      <c r="L202" s="12">
        <v>5097</v>
      </c>
      <c r="M202" s="8" t="s">
        <v>20</v>
      </c>
      <c r="N202" s="8" t="s">
        <v>224</v>
      </c>
      <c r="O202" s="8">
        <f>Tabla5[[#This Row],[TURNO]]</f>
        <v>10</v>
      </c>
      <c r="P202" s="8" t="str">
        <f>Tabla5[[#This Row],[MODULO]]</f>
        <v>M5</v>
      </c>
      <c r="Q202" s="8" t="str">
        <f>CONCATENATE(Tabla5[[#This Row],[MODULO]],"/T",Tabla5[[#This Row],[TURNO]])</f>
        <v>M5/T10</v>
      </c>
    </row>
    <row r="203" spans="3:17" x14ac:dyDescent="0.3">
      <c r="C203" s="8" t="str">
        <f t="shared" si="3"/>
        <v>Q225</v>
      </c>
      <c r="D203" s="8" t="s">
        <v>16</v>
      </c>
      <c r="E203" s="8" t="s">
        <v>17</v>
      </c>
      <c r="F203" s="22" t="s">
        <v>202</v>
      </c>
      <c r="G203" s="9">
        <v>11</v>
      </c>
      <c r="H203" s="9">
        <v>225</v>
      </c>
      <c r="I203" s="10" t="s">
        <v>19</v>
      </c>
      <c r="J203" s="11">
        <v>45784</v>
      </c>
      <c r="K203" s="26">
        <f>0.36+0.51</f>
        <v>0.87</v>
      </c>
      <c r="L203" s="12">
        <v>2630</v>
      </c>
      <c r="M203" s="8" t="s">
        <v>20</v>
      </c>
      <c r="N203" s="8" t="s">
        <v>225</v>
      </c>
      <c r="O203" s="8">
        <f>Tabla5[[#This Row],[TURNO]]</f>
        <v>11</v>
      </c>
      <c r="P203" s="8" t="str">
        <f>Tabla5[[#This Row],[MODULO]]</f>
        <v>M5</v>
      </c>
      <c r="Q203" s="8" t="str">
        <f>CONCATENATE(Tabla5[[#This Row],[MODULO]],"/T",Tabla5[[#This Row],[TURNO]])</f>
        <v>M5/T11</v>
      </c>
    </row>
    <row r="204" spans="3:17" x14ac:dyDescent="0.3">
      <c r="C204" s="8" t="str">
        <f t="shared" si="3"/>
        <v>Q230</v>
      </c>
      <c r="D204" s="8" t="s">
        <v>16</v>
      </c>
      <c r="E204" s="8" t="s">
        <v>17</v>
      </c>
      <c r="F204" s="22" t="s">
        <v>202</v>
      </c>
      <c r="G204" s="9">
        <v>11</v>
      </c>
      <c r="H204" s="22">
        <v>230</v>
      </c>
      <c r="I204" s="10" t="s">
        <v>19</v>
      </c>
      <c r="J204" s="11">
        <v>45778</v>
      </c>
      <c r="K204" s="22">
        <v>0.93</v>
      </c>
      <c r="L204" s="12">
        <v>6171</v>
      </c>
      <c r="M204" s="8" t="s">
        <v>20</v>
      </c>
      <c r="N204" s="8" t="s">
        <v>226</v>
      </c>
      <c r="O204" s="8">
        <f>Tabla5[[#This Row],[TURNO]]</f>
        <v>11</v>
      </c>
      <c r="P204" s="8" t="str">
        <f>Tabla5[[#This Row],[MODULO]]</f>
        <v>M5</v>
      </c>
      <c r="Q204" s="8" t="str">
        <f>CONCATENATE(Tabla5[[#This Row],[MODULO]],"/T",Tabla5[[#This Row],[TURNO]])</f>
        <v>M5/T11</v>
      </c>
    </row>
    <row r="205" spans="3:17" x14ac:dyDescent="0.3">
      <c r="C205" s="8" t="str">
        <f t="shared" si="3"/>
        <v>Q231</v>
      </c>
      <c r="D205" s="8" t="s">
        <v>16</v>
      </c>
      <c r="E205" s="8" t="s">
        <v>17</v>
      </c>
      <c r="F205" s="22" t="s">
        <v>202</v>
      </c>
      <c r="G205" s="9">
        <v>12</v>
      </c>
      <c r="H205" s="9">
        <v>231</v>
      </c>
      <c r="I205" s="10" t="s">
        <v>19</v>
      </c>
      <c r="J205" s="11">
        <v>45778</v>
      </c>
      <c r="K205" s="9">
        <v>0.98</v>
      </c>
      <c r="L205" s="12">
        <v>6351</v>
      </c>
      <c r="M205" s="8" t="s">
        <v>20</v>
      </c>
      <c r="N205" s="8" t="s">
        <v>227</v>
      </c>
      <c r="O205" s="8">
        <f>Tabla5[[#This Row],[TURNO]]</f>
        <v>12</v>
      </c>
      <c r="P205" s="8" t="str">
        <f>Tabla5[[#This Row],[MODULO]]</f>
        <v>M5</v>
      </c>
      <c r="Q205" s="8" t="str">
        <f>CONCATENATE(Tabla5[[#This Row],[MODULO]],"/T",Tabla5[[#This Row],[TURNO]])</f>
        <v>M5/T12</v>
      </c>
    </row>
    <row r="206" spans="3:17" x14ac:dyDescent="0.3">
      <c r="C206" s="8" t="str">
        <f t="shared" si="3"/>
        <v>Q232</v>
      </c>
      <c r="D206" s="8" t="s">
        <v>16</v>
      </c>
      <c r="E206" s="8" t="s">
        <v>17</v>
      </c>
      <c r="F206" s="22" t="s">
        <v>202</v>
      </c>
      <c r="G206" s="9">
        <v>13</v>
      </c>
      <c r="H206" s="9">
        <v>232</v>
      </c>
      <c r="I206" s="10" t="s">
        <v>19</v>
      </c>
      <c r="J206" s="11">
        <v>45778</v>
      </c>
      <c r="K206" s="9">
        <v>0.98</v>
      </c>
      <c r="L206" s="12">
        <v>6350</v>
      </c>
      <c r="M206" s="8" t="s">
        <v>20</v>
      </c>
      <c r="N206" s="8" t="s">
        <v>228</v>
      </c>
      <c r="O206" s="8">
        <f>Tabla5[[#This Row],[TURNO]]</f>
        <v>13</v>
      </c>
      <c r="P206" s="8" t="str">
        <f>Tabla5[[#This Row],[MODULO]]</f>
        <v>M5</v>
      </c>
      <c r="Q206" s="8" t="str">
        <f>CONCATENATE(Tabla5[[#This Row],[MODULO]],"/T",Tabla5[[#This Row],[TURNO]])</f>
        <v>M5/T13</v>
      </c>
    </row>
    <row r="207" spans="3:17" x14ac:dyDescent="0.3">
      <c r="C207" s="8" t="str">
        <f t="shared" si="3"/>
        <v>Q233</v>
      </c>
      <c r="D207" s="8" t="s">
        <v>16</v>
      </c>
      <c r="E207" s="8" t="s">
        <v>17</v>
      </c>
      <c r="F207" s="22" t="s">
        <v>202</v>
      </c>
      <c r="G207" s="9">
        <v>14</v>
      </c>
      <c r="H207" s="9">
        <v>233</v>
      </c>
      <c r="I207" s="10" t="s">
        <v>19</v>
      </c>
      <c r="J207" s="11">
        <v>45777</v>
      </c>
      <c r="K207" s="9">
        <v>0.98</v>
      </c>
      <c r="L207" s="12">
        <v>6392</v>
      </c>
      <c r="M207" s="8" t="s">
        <v>20</v>
      </c>
      <c r="N207" s="8" t="s">
        <v>229</v>
      </c>
      <c r="O207" s="8">
        <f>Tabla5[[#This Row],[TURNO]]</f>
        <v>14</v>
      </c>
      <c r="P207" s="8" t="str">
        <f>Tabla5[[#This Row],[MODULO]]</f>
        <v>M5</v>
      </c>
      <c r="Q207" s="8" t="str">
        <f>CONCATENATE(Tabla5[[#This Row],[MODULO]],"/T",Tabla5[[#This Row],[TURNO]])</f>
        <v>M5/T14</v>
      </c>
    </row>
    <row r="208" spans="3:17" x14ac:dyDescent="0.3">
      <c r="C208" s="8" t="str">
        <f t="shared" si="3"/>
        <v>Q234</v>
      </c>
      <c r="D208" s="8" t="s">
        <v>16</v>
      </c>
      <c r="E208" s="8" t="s">
        <v>17</v>
      </c>
      <c r="F208" s="22" t="s">
        <v>202</v>
      </c>
      <c r="G208" s="9">
        <v>11</v>
      </c>
      <c r="H208" s="9">
        <v>234</v>
      </c>
      <c r="I208" s="10" t="s">
        <v>19</v>
      </c>
      <c r="J208" s="11">
        <v>45777</v>
      </c>
      <c r="K208" s="9">
        <v>0.98</v>
      </c>
      <c r="L208" s="12">
        <v>6171</v>
      </c>
      <c r="M208" s="8" t="s">
        <v>20</v>
      </c>
      <c r="N208" s="8" t="s">
        <v>230</v>
      </c>
      <c r="O208" s="8">
        <f>Tabla5[[#This Row],[TURNO]]</f>
        <v>11</v>
      </c>
      <c r="P208" s="8" t="str">
        <f>Tabla5[[#This Row],[MODULO]]</f>
        <v>M5</v>
      </c>
      <c r="Q208" s="8" t="str">
        <f>CONCATENATE(Tabla5[[#This Row],[MODULO]],"/T",Tabla5[[#This Row],[TURNO]])</f>
        <v>M5/T11</v>
      </c>
    </row>
    <row r="209" spans="3:17" x14ac:dyDescent="0.3">
      <c r="C209" s="8" t="str">
        <f t="shared" si="3"/>
        <v>Q235</v>
      </c>
      <c r="D209" s="8" t="s">
        <v>16</v>
      </c>
      <c r="E209" s="8" t="s">
        <v>17</v>
      </c>
      <c r="F209" s="22" t="s">
        <v>202</v>
      </c>
      <c r="G209" s="9">
        <v>12</v>
      </c>
      <c r="H209" s="9">
        <v>235</v>
      </c>
      <c r="I209" s="10" t="s">
        <v>19</v>
      </c>
      <c r="J209" s="11">
        <v>45777</v>
      </c>
      <c r="K209" s="9">
        <v>0.98</v>
      </c>
      <c r="L209" s="12">
        <v>6349</v>
      </c>
      <c r="M209" s="8" t="s">
        <v>20</v>
      </c>
      <c r="N209" s="8" t="s">
        <v>231</v>
      </c>
      <c r="O209" s="8">
        <f>Tabla5[[#This Row],[TURNO]]</f>
        <v>12</v>
      </c>
      <c r="P209" s="8" t="str">
        <f>Tabla5[[#This Row],[MODULO]]</f>
        <v>M5</v>
      </c>
      <c r="Q209" s="8" t="str">
        <f>CONCATENATE(Tabla5[[#This Row],[MODULO]],"/T",Tabla5[[#This Row],[TURNO]])</f>
        <v>M5/T12</v>
      </c>
    </row>
    <row r="210" spans="3:17" x14ac:dyDescent="0.3">
      <c r="C210" s="8" t="str">
        <f t="shared" si="3"/>
        <v>Q236</v>
      </c>
      <c r="D210" s="8" t="s">
        <v>16</v>
      </c>
      <c r="E210" s="8" t="s">
        <v>17</v>
      </c>
      <c r="F210" s="22" t="s">
        <v>202</v>
      </c>
      <c r="G210" s="9">
        <v>13</v>
      </c>
      <c r="H210" s="9">
        <v>236</v>
      </c>
      <c r="I210" s="10" t="s">
        <v>19</v>
      </c>
      <c r="J210" s="11">
        <v>45777</v>
      </c>
      <c r="K210" s="9">
        <v>0.98</v>
      </c>
      <c r="L210" s="12">
        <v>6347</v>
      </c>
      <c r="M210" s="8" t="s">
        <v>20</v>
      </c>
      <c r="N210" s="8" t="s">
        <v>232</v>
      </c>
      <c r="O210" s="8">
        <f>Tabla5[[#This Row],[TURNO]]</f>
        <v>13</v>
      </c>
      <c r="P210" s="8" t="str">
        <f>Tabla5[[#This Row],[MODULO]]</f>
        <v>M5</v>
      </c>
      <c r="Q210" s="8" t="str">
        <f>CONCATENATE(Tabla5[[#This Row],[MODULO]],"/T",Tabla5[[#This Row],[TURNO]])</f>
        <v>M5/T13</v>
      </c>
    </row>
    <row r="211" spans="3:17" x14ac:dyDescent="0.3">
      <c r="C211" s="8" t="str">
        <f t="shared" si="3"/>
        <v>Q237</v>
      </c>
      <c r="D211" s="8" t="s">
        <v>16</v>
      </c>
      <c r="E211" s="8" t="s">
        <v>17</v>
      </c>
      <c r="F211" s="22" t="s">
        <v>202</v>
      </c>
      <c r="G211" s="9">
        <v>14</v>
      </c>
      <c r="H211" s="9">
        <v>237</v>
      </c>
      <c r="I211" s="10" t="s">
        <v>19</v>
      </c>
      <c r="J211" s="11">
        <v>45777</v>
      </c>
      <c r="K211" s="9">
        <v>0.98</v>
      </c>
      <c r="L211" s="12">
        <v>6394</v>
      </c>
      <c r="M211" s="8" t="s">
        <v>20</v>
      </c>
      <c r="N211" s="8" t="s">
        <v>233</v>
      </c>
      <c r="O211" s="8">
        <f>Tabla5[[#This Row],[TURNO]]</f>
        <v>14</v>
      </c>
      <c r="P211" s="8" t="str">
        <f>Tabla5[[#This Row],[MODULO]]</f>
        <v>M5</v>
      </c>
      <c r="Q211" s="8" t="str">
        <f>CONCATENATE(Tabla5[[#This Row],[MODULO]],"/T",Tabla5[[#This Row],[TURNO]])</f>
        <v>M5/T14</v>
      </c>
    </row>
    <row r="212" spans="3:17" x14ac:dyDescent="0.3">
      <c r="C212" s="8" t="str">
        <f t="shared" si="3"/>
        <v>Q238</v>
      </c>
      <c r="D212" s="8" t="s">
        <v>16</v>
      </c>
      <c r="E212" s="8" t="s">
        <v>17</v>
      </c>
      <c r="F212" s="22" t="s">
        <v>202</v>
      </c>
      <c r="G212" s="9">
        <v>15</v>
      </c>
      <c r="H212" s="9">
        <v>238</v>
      </c>
      <c r="I212" s="10" t="s">
        <v>19</v>
      </c>
      <c r="J212" s="11">
        <v>45776</v>
      </c>
      <c r="K212" s="9">
        <v>0.98</v>
      </c>
      <c r="L212" s="12">
        <v>6173</v>
      </c>
      <c r="M212" s="8" t="s">
        <v>20</v>
      </c>
      <c r="N212" s="8" t="s">
        <v>234</v>
      </c>
      <c r="O212" s="8">
        <f>Tabla5[[#This Row],[TURNO]]</f>
        <v>15</v>
      </c>
      <c r="P212" s="8" t="str">
        <f>Tabla5[[#This Row],[MODULO]]</f>
        <v>M5</v>
      </c>
      <c r="Q212" s="8" t="str">
        <f>CONCATENATE(Tabla5[[#This Row],[MODULO]],"/T",Tabla5[[#This Row],[TURNO]])</f>
        <v>M5/T15</v>
      </c>
    </row>
    <row r="213" spans="3:17" x14ac:dyDescent="0.3">
      <c r="C213" s="8" t="str">
        <f t="shared" si="3"/>
        <v>Q239</v>
      </c>
      <c r="D213" s="8" t="s">
        <v>16</v>
      </c>
      <c r="E213" s="8" t="s">
        <v>17</v>
      </c>
      <c r="F213" s="22" t="s">
        <v>202</v>
      </c>
      <c r="G213" s="9">
        <v>15</v>
      </c>
      <c r="H213" s="9">
        <v>239</v>
      </c>
      <c r="I213" s="10" t="s">
        <v>19</v>
      </c>
      <c r="J213" s="11">
        <v>45777</v>
      </c>
      <c r="K213" s="9">
        <v>0.98</v>
      </c>
      <c r="L213" s="12">
        <v>6351</v>
      </c>
      <c r="M213" s="8" t="s">
        <v>20</v>
      </c>
      <c r="N213" s="8" t="s">
        <v>235</v>
      </c>
      <c r="O213" s="8">
        <f>Tabla5[[#This Row],[TURNO]]</f>
        <v>15</v>
      </c>
      <c r="P213" s="8" t="str">
        <f>Tabla5[[#This Row],[MODULO]]</f>
        <v>M5</v>
      </c>
      <c r="Q213" s="8" t="str">
        <f>CONCATENATE(Tabla5[[#This Row],[MODULO]],"/T",Tabla5[[#This Row],[TURNO]])</f>
        <v>M5/T15</v>
      </c>
    </row>
    <row r="214" spans="3:17" x14ac:dyDescent="0.3">
      <c r="C214" s="8" t="str">
        <f t="shared" si="3"/>
        <v>Q240</v>
      </c>
      <c r="D214" s="8" t="s">
        <v>16</v>
      </c>
      <c r="E214" s="8" t="s">
        <v>17</v>
      </c>
      <c r="F214" s="22" t="s">
        <v>202</v>
      </c>
      <c r="G214" s="9">
        <v>15</v>
      </c>
      <c r="H214" s="9">
        <v>240</v>
      </c>
      <c r="I214" s="10" t="s">
        <v>19</v>
      </c>
      <c r="J214" s="11">
        <v>45776</v>
      </c>
      <c r="K214" s="9">
        <v>0.98</v>
      </c>
      <c r="L214" s="12">
        <v>6156</v>
      </c>
      <c r="M214" s="8" t="s">
        <v>20</v>
      </c>
      <c r="N214" s="8" t="s">
        <v>236</v>
      </c>
      <c r="O214" s="8">
        <f>Tabla5[[#This Row],[TURNO]]</f>
        <v>15</v>
      </c>
      <c r="P214" s="8" t="str">
        <f>Tabla5[[#This Row],[MODULO]]</f>
        <v>M5</v>
      </c>
      <c r="Q214" s="8" t="str">
        <f>CONCATENATE(Tabla5[[#This Row],[MODULO]],"/T",Tabla5[[#This Row],[TURNO]])</f>
        <v>M5/T15</v>
      </c>
    </row>
    <row r="215" spans="3:17" x14ac:dyDescent="0.3">
      <c r="C215" s="8" t="str">
        <f t="shared" si="3"/>
        <v>Q241</v>
      </c>
      <c r="D215" s="8" t="s">
        <v>16</v>
      </c>
      <c r="E215" s="8" t="s">
        <v>17</v>
      </c>
      <c r="F215" s="22" t="s">
        <v>202</v>
      </c>
      <c r="G215" s="9">
        <v>15</v>
      </c>
      <c r="H215" s="9">
        <v>241</v>
      </c>
      <c r="I215" s="10" t="s">
        <v>19</v>
      </c>
      <c r="J215" s="11">
        <v>45777</v>
      </c>
      <c r="K215" s="9">
        <v>0.98</v>
      </c>
      <c r="L215" s="12">
        <v>6351</v>
      </c>
      <c r="M215" s="8" t="s">
        <v>20</v>
      </c>
      <c r="N215" s="8" t="s">
        <v>237</v>
      </c>
      <c r="O215" s="8">
        <f>Tabla5[[#This Row],[TURNO]]</f>
        <v>15</v>
      </c>
      <c r="P215" s="8" t="str">
        <f>Tabla5[[#This Row],[MODULO]]</f>
        <v>M5</v>
      </c>
      <c r="Q215" s="8" t="str">
        <f>CONCATENATE(Tabla5[[#This Row],[MODULO]],"/T",Tabla5[[#This Row],[TURNO]])</f>
        <v>M5/T15</v>
      </c>
    </row>
    <row r="216" spans="3:17" x14ac:dyDescent="0.3">
      <c r="C216" s="8" t="str">
        <f t="shared" si="3"/>
        <v>Q242</v>
      </c>
      <c r="D216" s="8" t="s">
        <v>16</v>
      </c>
      <c r="E216" s="8" t="s">
        <v>17</v>
      </c>
      <c r="F216" s="22" t="s">
        <v>202</v>
      </c>
      <c r="G216" s="9">
        <v>15</v>
      </c>
      <c r="H216" s="9">
        <v>242</v>
      </c>
      <c r="I216" s="10" t="s">
        <v>19</v>
      </c>
      <c r="J216" s="11">
        <v>45776</v>
      </c>
      <c r="K216" s="9">
        <v>0.81</v>
      </c>
      <c r="L216" s="12">
        <v>4850</v>
      </c>
      <c r="M216" s="8" t="s">
        <v>20</v>
      </c>
      <c r="N216" s="8" t="s">
        <v>238</v>
      </c>
      <c r="O216" s="8">
        <f>Tabla5[[#This Row],[TURNO]]</f>
        <v>15</v>
      </c>
      <c r="P216" s="8" t="str">
        <f>Tabla5[[#This Row],[MODULO]]</f>
        <v>M5</v>
      </c>
      <c r="Q216" s="8" t="str">
        <f>CONCATENATE(Tabla5[[#This Row],[MODULO]],"/T",Tabla5[[#This Row],[TURNO]])</f>
        <v>M5/T15</v>
      </c>
    </row>
    <row r="217" spans="3:17" x14ac:dyDescent="0.3">
      <c r="C217" s="8" t="str">
        <f t="shared" si="3"/>
        <v>Q243</v>
      </c>
      <c r="D217" s="8" t="s">
        <v>16</v>
      </c>
      <c r="E217" s="8" t="s">
        <v>17</v>
      </c>
      <c r="F217" s="22" t="s">
        <v>202</v>
      </c>
      <c r="G217" s="9">
        <v>15</v>
      </c>
      <c r="H217" s="9">
        <v>243</v>
      </c>
      <c r="I217" s="10" t="s">
        <v>19</v>
      </c>
      <c r="J217" s="11">
        <v>45777</v>
      </c>
      <c r="K217" s="9">
        <v>0.31</v>
      </c>
      <c r="L217" s="12">
        <v>2219</v>
      </c>
      <c r="M217" s="8" t="s">
        <v>20</v>
      </c>
      <c r="N217" s="8" t="s">
        <v>239</v>
      </c>
      <c r="O217" s="8">
        <f>Tabla5[[#This Row],[TURNO]]</f>
        <v>15</v>
      </c>
      <c r="P217" s="8" t="str">
        <f>Tabla5[[#This Row],[MODULO]]</f>
        <v>M5</v>
      </c>
      <c r="Q217" s="8" t="str">
        <f>CONCATENATE(Tabla5[[#This Row],[MODULO]],"/T",Tabla5[[#This Row],[TURNO]])</f>
        <v>M5/T15</v>
      </c>
    </row>
    <row r="218" spans="3:17" x14ac:dyDescent="0.3">
      <c r="C218" s="8" t="str">
        <f t="shared" si="3"/>
        <v>Q244</v>
      </c>
      <c r="D218" s="8" t="s">
        <v>16</v>
      </c>
      <c r="E218" s="8" t="s">
        <v>17</v>
      </c>
      <c r="F218" s="22" t="s">
        <v>202</v>
      </c>
      <c r="G218" s="9">
        <v>16</v>
      </c>
      <c r="H218" s="9">
        <v>244</v>
      </c>
      <c r="I218" s="10" t="s">
        <v>19</v>
      </c>
      <c r="J218" s="11">
        <v>45777</v>
      </c>
      <c r="K218" s="9">
        <v>0.9</v>
      </c>
      <c r="L218" s="12">
        <v>5541</v>
      </c>
      <c r="M218" s="8" t="s">
        <v>20</v>
      </c>
      <c r="N218" s="8" t="s">
        <v>240</v>
      </c>
      <c r="O218" s="8">
        <f>Tabla5[[#This Row],[TURNO]]</f>
        <v>16</v>
      </c>
      <c r="P218" s="8" t="str">
        <f>Tabla5[[#This Row],[MODULO]]</f>
        <v>M5</v>
      </c>
      <c r="Q218" s="8" t="str">
        <f>CONCATENATE(Tabla5[[#This Row],[MODULO]],"/T",Tabla5[[#This Row],[TURNO]])</f>
        <v>M5/T16</v>
      </c>
    </row>
    <row r="219" spans="3:17" x14ac:dyDescent="0.3">
      <c r="C219" s="8" t="str">
        <f t="shared" si="3"/>
        <v>Q245</v>
      </c>
      <c r="D219" s="8" t="s">
        <v>16</v>
      </c>
      <c r="E219" s="8" t="s">
        <v>17</v>
      </c>
      <c r="F219" s="22" t="s">
        <v>202</v>
      </c>
      <c r="G219" s="9">
        <v>16</v>
      </c>
      <c r="H219" s="9">
        <v>245</v>
      </c>
      <c r="I219" s="10" t="s">
        <v>19</v>
      </c>
      <c r="J219" s="11">
        <v>45777</v>
      </c>
      <c r="K219" s="9">
        <v>0.37</v>
      </c>
      <c r="L219" s="12">
        <v>2243</v>
      </c>
      <c r="M219" s="8" t="s">
        <v>20</v>
      </c>
      <c r="N219" s="8" t="s">
        <v>241</v>
      </c>
      <c r="O219" s="8">
        <f>Tabla5[[#This Row],[TURNO]]</f>
        <v>16</v>
      </c>
      <c r="P219" s="8" t="str">
        <f>Tabla5[[#This Row],[MODULO]]</f>
        <v>M5</v>
      </c>
      <c r="Q219" s="8" t="str">
        <f>CONCATENATE(Tabla5[[#This Row],[MODULO]],"/T",Tabla5[[#This Row],[TURNO]])</f>
        <v>M5/T16</v>
      </c>
    </row>
    <row r="220" spans="3:17" x14ac:dyDescent="0.3">
      <c r="C220" s="8" t="str">
        <f t="shared" si="3"/>
        <v>Q246</v>
      </c>
      <c r="D220" s="8" t="s">
        <v>16</v>
      </c>
      <c r="E220" s="8" t="s">
        <v>17</v>
      </c>
      <c r="F220" s="22" t="s">
        <v>202</v>
      </c>
      <c r="G220" s="9">
        <v>16</v>
      </c>
      <c r="H220" s="9">
        <v>246</v>
      </c>
      <c r="I220" s="10" t="s">
        <v>19</v>
      </c>
      <c r="J220" s="11">
        <v>45777</v>
      </c>
      <c r="K220" s="9">
        <v>0.98</v>
      </c>
      <c r="L220" s="12">
        <v>6347</v>
      </c>
      <c r="M220" s="8" t="s">
        <v>20</v>
      </c>
      <c r="N220" s="8" t="s">
        <v>242</v>
      </c>
      <c r="O220" s="8">
        <f>Tabla5[[#This Row],[TURNO]]</f>
        <v>16</v>
      </c>
      <c r="P220" s="8" t="str">
        <f>Tabla5[[#This Row],[MODULO]]</f>
        <v>M5</v>
      </c>
      <c r="Q220" s="8" t="str">
        <f>CONCATENATE(Tabla5[[#This Row],[MODULO]],"/T",Tabla5[[#This Row],[TURNO]])</f>
        <v>M5/T16</v>
      </c>
    </row>
    <row r="221" spans="3:17" x14ac:dyDescent="0.3">
      <c r="C221" s="8" t="str">
        <f t="shared" si="3"/>
        <v>Q247</v>
      </c>
      <c r="D221" s="8" t="s">
        <v>16</v>
      </c>
      <c r="E221" s="8" t="s">
        <v>17</v>
      </c>
      <c r="F221" s="22" t="s">
        <v>202</v>
      </c>
      <c r="G221" s="9">
        <v>16</v>
      </c>
      <c r="H221" s="9">
        <v>247</v>
      </c>
      <c r="I221" s="10" t="s">
        <v>19</v>
      </c>
      <c r="J221" s="11">
        <v>45777</v>
      </c>
      <c r="K221" s="9">
        <v>0.98</v>
      </c>
      <c r="L221" s="12">
        <v>6392</v>
      </c>
      <c r="M221" s="8" t="s">
        <v>20</v>
      </c>
      <c r="N221" s="8" t="s">
        <v>243</v>
      </c>
      <c r="O221" s="8">
        <f>Tabla5[[#This Row],[TURNO]]</f>
        <v>16</v>
      </c>
      <c r="P221" s="8" t="str">
        <f>Tabla5[[#This Row],[MODULO]]</f>
        <v>M5</v>
      </c>
      <c r="Q221" s="8" t="str">
        <f>CONCATENATE(Tabla5[[#This Row],[MODULO]],"/T",Tabla5[[#This Row],[TURNO]])</f>
        <v>M5/T16</v>
      </c>
    </row>
    <row r="222" spans="3:17" x14ac:dyDescent="0.3">
      <c r="C222" s="8" t="str">
        <f t="shared" si="3"/>
        <v>Q277</v>
      </c>
      <c r="D222" s="8" t="s">
        <v>16</v>
      </c>
      <c r="E222" s="8" t="s">
        <v>17</v>
      </c>
      <c r="F222" s="22" t="s">
        <v>156</v>
      </c>
      <c r="G222" s="9">
        <v>1</v>
      </c>
      <c r="H222" s="9">
        <v>277</v>
      </c>
      <c r="I222" s="10" t="s">
        <v>19</v>
      </c>
      <c r="J222" s="11">
        <v>45762</v>
      </c>
      <c r="K222" s="9">
        <v>0.6</v>
      </c>
      <c r="L222" s="12">
        <v>5017</v>
      </c>
      <c r="M222" s="8" t="s">
        <v>20</v>
      </c>
      <c r="N222" s="8" t="s">
        <v>244</v>
      </c>
      <c r="O222" s="8">
        <f>Tabla5[[#This Row],[TURNO]]</f>
        <v>1</v>
      </c>
      <c r="P222" s="8" t="str">
        <f>Tabla5[[#This Row],[MODULO]]</f>
        <v>M4</v>
      </c>
      <c r="Q222" s="8" t="str">
        <f>CONCATENATE(Tabla5[[#This Row],[MODULO]],"/T",Tabla5[[#This Row],[TURNO]])</f>
        <v>M4/T1</v>
      </c>
    </row>
    <row r="223" spans="3:17" x14ac:dyDescent="0.3">
      <c r="C223" s="8" t="str">
        <f t="shared" si="3"/>
        <v>Q278</v>
      </c>
      <c r="D223" s="8" t="s">
        <v>16</v>
      </c>
      <c r="E223" s="8" t="s">
        <v>17</v>
      </c>
      <c r="F223" s="22" t="s">
        <v>156</v>
      </c>
      <c r="G223" s="9">
        <v>9</v>
      </c>
      <c r="H223" s="9">
        <v>278</v>
      </c>
      <c r="I223" s="10" t="s">
        <v>19</v>
      </c>
      <c r="J223" s="11">
        <v>45783</v>
      </c>
      <c r="K223" s="22">
        <v>0.98</v>
      </c>
      <c r="L223" s="12">
        <v>6390</v>
      </c>
      <c r="M223" s="8" t="s">
        <v>20</v>
      </c>
      <c r="N223" s="8" t="s">
        <v>245</v>
      </c>
      <c r="O223" s="8">
        <f>Tabla5[[#This Row],[TURNO]]</f>
        <v>9</v>
      </c>
      <c r="P223" s="8" t="str">
        <f>Tabla5[[#This Row],[MODULO]]</f>
        <v>M4</v>
      </c>
      <c r="Q223" s="8" t="str">
        <f>CONCATENATE(Tabla5[[#This Row],[MODULO]],"/T",Tabla5[[#This Row],[TURNO]])</f>
        <v>M4/T9</v>
      </c>
    </row>
    <row r="224" spans="3:17" x14ac:dyDescent="0.3">
      <c r="C224" s="8" t="str">
        <f t="shared" si="3"/>
        <v>Q279</v>
      </c>
      <c r="D224" s="8" t="s">
        <v>16</v>
      </c>
      <c r="E224" s="8" t="s">
        <v>17</v>
      </c>
      <c r="F224" s="22" t="s">
        <v>156</v>
      </c>
      <c r="G224" s="9">
        <v>9</v>
      </c>
      <c r="H224" s="9">
        <v>279</v>
      </c>
      <c r="I224" s="10" t="s">
        <v>19</v>
      </c>
      <c r="J224" s="11">
        <v>45783</v>
      </c>
      <c r="K224" s="22">
        <v>0.97</v>
      </c>
      <c r="L224" s="12">
        <v>6393</v>
      </c>
      <c r="M224" s="8" t="s">
        <v>20</v>
      </c>
      <c r="N224" s="8" t="s">
        <v>246</v>
      </c>
      <c r="O224" s="8">
        <f>Tabla5[[#This Row],[TURNO]]</f>
        <v>9</v>
      </c>
      <c r="P224" s="8" t="str">
        <f>Tabla5[[#This Row],[MODULO]]</f>
        <v>M4</v>
      </c>
      <c r="Q224" s="8" t="str">
        <f>CONCATENATE(Tabla5[[#This Row],[MODULO]],"/T",Tabla5[[#This Row],[TURNO]])</f>
        <v>M4/T9</v>
      </c>
    </row>
  </sheetData>
  <mergeCells count="1">
    <mergeCell ref="N1:P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A794B-8C0E-4B9B-9829-BCC966325315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DATA QBERRIES</vt:lpstr>
      <vt:lpstr>Hoja1</vt:lpstr>
      <vt:lpstr>Tabla2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  León</dc:creator>
  <cp:lastModifiedBy>Tatiana  León</cp:lastModifiedBy>
  <dcterms:created xsi:type="dcterms:W3CDTF">2026-08-10T19:45:02Z</dcterms:created>
  <dcterms:modified xsi:type="dcterms:W3CDTF">2026-08-10T19:45:37Z</dcterms:modified>
</cp:coreProperties>
</file>